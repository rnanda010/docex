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https://nee.sharepoint.com/teams/EXT_CIStoSAP/Shared Documents/Operational Readiness and Testing/00. Integrated Releases/01- Integrated Release 1.0/02. UAT/03. Performance Testing/"/>
    </mc:Choice>
  </mc:AlternateContent>
  <xr:revisionPtr revIDLastSave="0" documentId="8_{A41DB624-E5C1-4D6A-A4AA-52C3508A0779}" xr6:coauthVersionLast="47" xr6:coauthVersionMax="47" xr10:uidLastSave="{00000000-0000-0000-0000-000000000000}"/>
  <bookViews>
    <workbookView xWindow="-120" yWindow="-120" windowWidth="29040" windowHeight="15720" firstSheet="14" activeTab="8" xr2:uid="{00000000-000D-0000-FFFF-FFFF00000000}"/>
  </bookViews>
  <sheets>
    <sheet name="Performance Testing Info" sheetId="1" r:id="rId1"/>
    <sheet name="Architecture (UCDP)" sheetId="2" r:id="rId2"/>
    <sheet name="Convo AI (IVR)" sheetId="5" r:id="rId3"/>
    <sheet name="CS Field Service" sheetId="6" r:id="rId4"/>
    <sheet name="DCP- Customer Communications  " sheetId="9" state="hidden" r:id="rId5"/>
    <sheet name="Integrations Mulesfot" sheetId="16" r:id="rId6"/>
    <sheet name="Case Management" sheetId="4" r:id="rId7"/>
    <sheet name="IR2 Performance Testing Status" sheetId="19" r:id="rId8"/>
    <sheet name="Employee Desktop" sheetId="7" r:id="rId9"/>
    <sheet name="Reporting &amp; Analytics" sheetId="8" state="hidden" r:id="rId10"/>
    <sheet name="SAP" sheetId="14" state="hidden" r:id="rId11"/>
    <sheet name="SAP - Basis" sheetId="15" state="hidden" r:id="rId12"/>
    <sheet name="Tax" sheetId="10" state="hidden" r:id="rId13"/>
    <sheet name="Telephony" sheetId="11" r:id="rId14"/>
    <sheet name="Web Optimization &amp; Mobile" sheetId="12" r:id="rId15"/>
    <sheet name="Execution Status" sheetId="3" r:id="rId16"/>
    <sheet name="Performance Testing Report View" sheetId="18" r:id="rId17"/>
    <sheet name="Action Items" sheetId="17" r:id="rId18"/>
  </sheets>
  <definedNames>
    <definedName name="_xlnm._FilterDatabase" localSheetId="5" hidden="1">'Integrations Mulesfot'!$A$1:$T$1</definedName>
    <definedName name="_xlnm._FilterDatabase" localSheetId="0" hidden="1">'Performance Testing Info'!$A$1:$P$1</definedName>
    <definedName name="_xlnm._FilterDatabase" localSheetId="16" hidden="1">'Performance Testing Report View'!$A$1:$M$1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8" l="1"/>
  <c r="I5" i="18"/>
  <c r="J2" i="18"/>
  <c r="I2" i="18"/>
  <c r="B21" i="18"/>
  <c r="B3" i="18"/>
  <c r="J3" i="18" s="1"/>
  <c r="B4" i="18"/>
  <c r="J4" i="18" s="1"/>
  <c r="B6" i="18"/>
  <c r="J6" i="18" s="1"/>
  <c r="B7" i="18"/>
  <c r="J7" i="18" s="1"/>
  <c r="E29" i="18"/>
  <c r="E30" i="18"/>
  <c r="F31" i="18"/>
  <c r="E32" i="18"/>
  <c r="F32" i="18"/>
  <c r="E34" i="18"/>
  <c r="F34" i="18"/>
  <c r="F35" i="18"/>
  <c r="E42" i="18"/>
  <c r="F42" i="18"/>
  <c r="C21" i="18"/>
  <c r="D21" i="18"/>
  <c r="E21" i="18"/>
  <c r="F21" i="18"/>
  <c r="K2" i="18"/>
  <c r="K3" i="18"/>
  <c r="K4" i="18"/>
  <c r="K5" i="18"/>
  <c r="K6" i="18"/>
  <c r="K7" i="18"/>
  <c r="C8" i="18"/>
  <c r="D8" i="18"/>
  <c r="E8" i="18"/>
  <c r="F8" i="18"/>
  <c r="K8" i="18" s="1"/>
  <c r="N3" i="1"/>
  <c r="N4" i="1"/>
  <c r="N5" i="1"/>
  <c r="N6" i="1"/>
  <c r="N7" i="1"/>
  <c r="I14" i="1"/>
  <c r="K7" i="1"/>
  <c r="K5" i="1"/>
  <c r="K4" i="1"/>
  <c r="K6" i="1"/>
  <c r="K3" i="1"/>
  <c r="K2" i="1"/>
  <c r="E8" i="1"/>
  <c r="F8" i="1"/>
  <c r="J2" i="1"/>
  <c r="H42" i="1"/>
  <c r="I42" i="1"/>
  <c r="N2" i="1"/>
  <c r="J3" i="1"/>
  <c r="J4" i="1"/>
  <c r="J5" i="1"/>
  <c r="J6" i="1"/>
  <c r="J7" i="1"/>
  <c r="I8" i="1"/>
  <c r="G8" i="1"/>
  <c r="H8" i="1"/>
  <c r="K8" i="1" s="1"/>
  <c r="L2" i="1"/>
  <c r="D7" i="1"/>
  <c r="D6" i="1"/>
  <c r="D4" i="1"/>
  <c r="D3" i="1"/>
  <c r="I19" i="1"/>
  <c r="I35" i="1"/>
  <c r="I34" i="1"/>
  <c r="H34" i="1"/>
  <c r="I32" i="1"/>
  <c r="H32" i="1"/>
  <c r="I31" i="1"/>
  <c r="H30" i="1"/>
  <c r="H29" i="1"/>
  <c r="I15" i="1"/>
  <c r="I16" i="1"/>
  <c r="I17" i="1"/>
  <c r="I18" i="1"/>
  <c r="I20" i="1"/>
  <c r="H21" i="1"/>
  <c r="E21" i="1"/>
  <c r="F21" i="1"/>
  <c r="G21" i="1"/>
  <c r="D21" i="1"/>
  <c r="B8" i="18" l="1"/>
  <c r="I8" i="18" s="1"/>
  <c r="I6" i="18"/>
  <c r="I3" i="18"/>
  <c r="I7" i="18"/>
  <c r="I4" i="18"/>
  <c r="N8" i="1"/>
  <c r="M2" i="1"/>
  <c r="I21" i="1"/>
  <c r="L3" i="1"/>
  <c r="L4" i="1"/>
  <c r="L5" i="1"/>
  <c r="L6" i="1"/>
  <c r="L7" i="1"/>
  <c r="J8" i="1"/>
  <c r="M3" i="1"/>
  <c r="M4" i="1"/>
  <c r="M5" i="1"/>
  <c r="M6" i="1"/>
  <c r="M7" i="1"/>
  <c r="D8" i="1"/>
  <c r="J8" i="18" l="1"/>
  <c r="L8" i="1"/>
  <c r="M8" i="1"/>
</calcChain>
</file>

<file path=xl/sharedStrings.xml><?xml version="1.0" encoding="utf-8"?>
<sst xmlns="http://schemas.openxmlformats.org/spreadsheetml/2006/main" count="2582" uniqueCount="807">
  <si>
    <t>Workstream</t>
  </si>
  <si>
    <t>Performance Testing (Yes/No)</t>
  </si>
  <si>
    <t xml:space="preserve">If  no, why? </t>
  </si>
  <si>
    <t>Total Scenarios</t>
  </si>
  <si>
    <t>Total Functional Steps</t>
  </si>
  <si>
    <t>Total Excluding N/A</t>
  </si>
  <si>
    <t>Plan to Week</t>
  </si>
  <si>
    <t>Planned Executed Scenarios</t>
  </si>
  <si>
    <t>Actual Passed Scenarios</t>
  </si>
  <si>
    <t>Planned Remaining</t>
  </si>
  <si>
    <t>Plan Week % Complete</t>
  </si>
  <si>
    <t>Total Remaining</t>
  </si>
  <si>
    <t>Execution %</t>
  </si>
  <si>
    <t>Pass Rate %</t>
  </si>
  <si>
    <t>Business KPI</t>
  </si>
  <si>
    <t>Performance Requirements</t>
  </si>
  <si>
    <t>How load is determined</t>
  </si>
  <si>
    <t>Architecture (UCDP)</t>
  </si>
  <si>
    <t xml:space="preserve">yes </t>
  </si>
  <si>
    <t>- Realtime ingestion of interactions from the channels
- Sub-second interactions retrievals</t>
  </si>
  <si>
    <t>- System should be capable of handling 1 million reads &amp; 1 million writes in parallel for a duration of 1 hour
- System should not be exceeding response times of 100ms under peak-load scenarios</t>
  </si>
  <si>
    <t>- Did volume analysis of existing CCINs for NW + Legacy customers, which came to ~300 million interactions in a month 
- Understood from business the peak load scenarios
- Multiplied the peak load scenario number by 10x to achieve a much higher throughput
- Stress tested the system with near maximum concurrency to come to a point where the system starts to throttle</t>
  </si>
  <si>
    <t>Case Management</t>
  </si>
  <si>
    <t>Average Response time,90% Line, % errors</t>
  </si>
  <si>
    <t>API's should not be exceeding 5 sec under peak load scenarios</t>
  </si>
  <si>
    <t>volume details understood from business peak load scenarios it is around ~300 so 10x to achieve transactions per hour</t>
  </si>
  <si>
    <t>CS Field Service</t>
  </si>
  <si>
    <t>API's  should not be exceeding 5 sec under peak load scenarios</t>
  </si>
  <si>
    <t>volume details understood from business peak load scenarios it is around ~9 so 10x to achieve transactions per hour, Discussed with Business(Urquiaga, Alejandro), @Steven Licari provided load details and we used the same multiplied by 10X</t>
  </si>
  <si>
    <t>Employee Desktop</t>
  </si>
  <si>
    <t>volume details understood from business peak load scenarios it is around ~1000 so 10x to achieve transactions per hour, Discussed with Business
Castro, Jaime, &amp; Vargas, Ricardo, with provided load details and we used the same multiplied by 10X</t>
  </si>
  <si>
    <t>Integrations &amp; Mulesoft</t>
  </si>
  <si>
    <t>On an average, it should not take more than 5 Sec</t>
  </si>
  <si>
    <t>Determined from Unified CRM scenarios</t>
  </si>
  <si>
    <t>Web Optimization &amp; Mobile</t>
  </si>
  <si>
    <t>Average Respnse time,90% Line, % errors</t>
  </si>
  <si>
    <t>90% of calls should not exceed 3 sec under peak load, target &lt;5% errors</t>
  </si>
  <si>
    <t>Max traffic seen on site for Legacy + NW customers according to Adobe Analytics + 10% accounting for growth</t>
  </si>
  <si>
    <t xml:space="preserve">Total </t>
  </si>
  <si>
    <t>Planned By Week</t>
  </si>
  <si>
    <t>Week 1 (03/10/2025-03/14/2025)</t>
  </si>
  <si>
    <t>Week 2 (03/17/2025-03/21/2025)</t>
  </si>
  <si>
    <t>Week 3 (03/24/2025-03/28/2025)</t>
  </si>
  <si>
    <t>Week 4 (03/31/2025-04/04/2025)</t>
  </si>
  <si>
    <t>Week 5 (04/07/2025-04/10/2025)</t>
  </si>
  <si>
    <t>Total</t>
  </si>
  <si>
    <t>Telephony</t>
  </si>
  <si>
    <t>Convo AI</t>
  </si>
  <si>
    <t>If no, why?</t>
  </si>
  <si>
    <t>Point of Contact</t>
  </si>
  <si>
    <t>Number of Scenarios for Performance Testing</t>
  </si>
  <si>
    <t>Hussain Gilani/ Tisha Haque</t>
  </si>
  <si>
    <t>Srividya Chamarthy</t>
  </si>
  <si>
    <t>Convo AI (IVR)</t>
  </si>
  <si>
    <t>Vishwanath Vinnakota</t>
  </si>
  <si>
    <t>DCP Customer communications</t>
  </si>
  <si>
    <t>No</t>
  </si>
  <si>
    <t>Not part of IR1.0</t>
  </si>
  <si>
    <t>N/A</t>
  </si>
  <si>
    <t>Ramesh Reddy Kota</t>
  </si>
  <si>
    <t>Reporting &amp; Analytics</t>
  </si>
  <si>
    <t>Only 9 test cases and nothing for performance test</t>
  </si>
  <si>
    <t>SAP - Billing &amp; Payment (BPO)</t>
  </si>
  <si>
    <t>No changes in IR1 that require performance testing. Some are planned for later releases</t>
  </si>
  <si>
    <t>SAP - Revenue Recovery</t>
  </si>
  <si>
    <t>SAP - Basis</t>
  </si>
  <si>
    <t>Only offcycle performance test to validate solution for DEE</t>
  </si>
  <si>
    <t>SAP- Tax</t>
  </si>
  <si>
    <t>Waiting to install Vertex. Not available for IR 1.0</t>
  </si>
  <si>
    <t>Saswat Ranjan Sahoo</t>
  </si>
  <si>
    <t>POC</t>
  </si>
  <si>
    <t>Tisha Haque
Manish Vastrakar</t>
  </si>
  <si>
    <t>Gajendran Karthikeyan</t>
  </si>
  <si>
    <t>Sravya Polavarapu, Sunanda Poda, Srividhya Chamarthy</t>
  </si>
  <si>
    <t>Sudhirkumar Kuna, Srinivasu Koka</t>
  </si>
  <si>
    <t>Legacy Standard</t>
  </si>
  <si>
    <t>FPL NW Standard</t>
  </si>
  <si>
    <t>Industry Standard</t>
  </si>
  <si>
    <t>Performance Testing Scenarios</t>
  </si>
  <si>
    <t>Functional Steps</t>
  </si>
  <si>
    <t>Time Interval</t>
  </si>
  <si>
    <t># Transactions</t>
  </si>
  <si>
    <t>Average Response Time</t>
  </si>
  <si>
    <t>90% Line</t>
  </si>
  <si>
    <t>Planned Execution Date</t>
  </si>
  <si>
    <t>Execution Status</t>
  </si>
  <si>
    <t>Performance Test Lead</t>
  </si>
  <si>
    <t>Results</t>
  </si>
  <si>
    <t>Legacy Application</t>
  </si>
  <si>
    <t>User/Data Load Volumetrics</t>
  </si>
  <si>
    <t>FPL NW Application</t>
  </si>
  <si>
    <t>Reasons for Deviations</t>
  </si>
  <si>
    <t>How 90% Line is calculated for Current Performance Test</t>
  </si>
  <si>
    <t xml:space="preserve">Write 100K records at 70 TPS into UCDP and determine key metrics at every 10 min interval which include, Test duration, Avg response time, Min response TIme, 90th/95th and 99th percentile response time, Error %, Throughput, Avg recieved and sent, Total consumed WCUs, Storage used and Total cost ( WCU + Storage) </t>
  </si>
  <si>
    <t>- Generate mock data using Faker library
- Ensure AWS perf test env readiness
- Setup JMeter, import test data and execute perf test script
- Take snapshots at preset intervals to capture key performance metrics from JMeter
- Capture usage and cost metrics from AWS</t>
  </si>
  <si>
    <t>10 mins</t>
  </si>
  <si>
    <t>24 ms</t>
  </si>
  <si>
    <t>47 ms</t>
  </si>
  <si>
    <t>Passed</t>
  </si>
  <si>
    <t>UCDP PerformanceAnalysis(100K_70TPS)_18022025.docx</t>
  </si>
  <si>
    <t>UCDP is a greenfield system. No legacy Application or standards</t>
  </si>
  <si>
    <t>UCDP is a greenfield system. No NW application or Standard</t>
  </si>
  <si>
    <t>20 mins</t>
  </si>
  <si>
    <t>27 ms</t>
  </si>
  <si>
    <t>25 mins</t>
  </si>
  <si>
    <t>28 ms</t>
  </si>
  <si>
    <t>49 ms</t>
  </si>
  <si>
    <t>Write 200k records at 70 TPS into UCDP and determine key metrics which include, Test duration, Avg response time, Min response TIme, 90th/95th and 99th percentile response time, Error %, Throughput, Avg recieved and sent, Total consumed WCUs, Storage used and Total cost ( WCU + Storage)</t>
  </si>
  <si>
    <t>18 ms</t>
  </si>
  <si>
    <t>29 ms</t>
  </si>
  <si>
    <t>UCDP PerformanceAnalysis(200K_70TPS)_20022025.docx</t>
  </si>
  <si>
    <t>19 ms</t>
  </si>
  <si>
    <t>32 ms</t>
  </si>
  <si>
    <t>30 mins</t>
  </si>
  <si>
    <t>31 ms</t>
  </si>
  <si>
    <t>40 mins</t>
  </si>
  <si>
    <t>46 mins</t>
  </si>
  <si>
    <t>Write 1M records at 70 TPS into UCDP and determine key metrics which include, Test duration, Avg response time, Min response TIme, 90th/95th and 99th percentile response time, Error %, Throughput, Avg recieved and sent, Total consumed WCUs, Storage used and Total cost ( WCU + Storage)</t>
  </si>
  <si>
    <t>15 mins</t>
  </si>
  <si>
    <t>26 ms</t>
  </si>
  <si>
    <t>UCDP PerformanceAnalysis(1M_70TPS)_24022025.docx</t>
  </si>
  <si>
    <t>25 ms</t>
  </si>
  <si>
    <t>45 mins</t>
  </si>
  <si>
    <t>60 mins</t>
  </si>
  <si>
    <t>75 mins</t>
  </si>
  <si>
    <t>90 mins</t>
  </si>
  <si>
    <t>105 mins</t>
  </si>
  <si>
    <t>120 mins</t>
  </si>
  <si>
    <t>135 mins</t>
  </si>
  <si>
    <t>150 mins</t>
  </si>
  <si>
    <t>165 mins</t>
  </si>
  <si>
    <t>27ms</t>
  </si>
  <si>
    <t>180 mins</t>
  </si>
  <si>
    <t>195 mins</t>
  </si>
  <si>
    <t>210 mins</t>
  </si>
  <si>
    <t>17 ms</t>
  </si>
  <si>
    <t>225 mins</t>
  </si>
  <si>
    <t>233 mins</t>
  </si>
  <si>
    <t>Write 1M records at 130 TPS into UCDP and determine key metrics which include, Test duration, Avg response time, Min response TIme, 90th/95th and 99th percentile response time, Error %, Throughput, Avg recieved and sent, Total consumed WCUs, Storage used and Total cost ( WCU + Storage)</t>
  </si>
  <si>
    <t>UCDP PerformanceAnalysis(1M_130TPS)_26022025.docx</t>
  </si>
  <si>
    <t>23 ms</t>
  </si>
  <si>
    <t>80 mins</t>
  </si>
  <si>
    <t>100 mins</t>
  </si>
  <si>
    <t>128 mins</t>
  </si>
  <si>
    <t>Simultanious 1M record read at 130 TPS from UCDP and 1M record write at 130 TPS into UCDP and determine key metrics which include, Test duration, Avg response time, Min response TIme, 90th/95th and 99th percentile response time, Error %, Throughput, Avg recieved and sent, Total consumed WCUs, Storage used and Total cost ( WCU + Storage)</t>
  </si>
  <si>
    <t>155557  (Write)</t>
  </si>
  <si>
    <t>UCDP PerformanceAnalysis(1M_READ_130TPS_1M_WRITE_130TPS)_03032025.docx</t>
  </si>
  <si>
    <t>311674 (Write)</t>
  </si>
  <si>
    <t>117000 (Read)</t>
  </si>
  <si>
    <t>22 ms</t>
  </si>
  <si>
    <t>467552 (Write)</t>
  </si>
  <si>
    <t>272882 (Read)</t>
  </si>
  <si>
    <t>623728 (Write)</t>
  </si>
  <si>
    <t>429055 (Read)</t>
  </si>
  <si>
    <t>779810 (Write)</t>
  </si>
  <si>
    <t>585139 (Read)</t>
  </si>
  <si>
    <t>935792 (Write)</t>
  </si>
  <si>
    <t>741117 (Read)</t>
  </si>
  <si>
    <t>140 mins</t>
  </si>
  <si>
    <t>1000000 (Write)</t>
  </si>
  <si>
    <t>897054 (Read)</t>
  </si>
  <si>
    <t>153 mins</t>
  </si>
  <si>
    <t>1000000 (Read)</t>
  </si>
  <si>
    <t>Simultanious 1M record read at 260 TPS from UCDP and 1M record write at 260 TPS into UCDP and determine key metrics which include, Test duration, Avg response time, Min response TIme, 90th/95th and 99th percentile response time, Error %, Throughput, Avg recieved and sent, Total consumed WCUs, Storage used and Total cost ( WCU + Storage)</t>
  </si>
  <si>
    <t>152134 (Write)</t>
  </si>
  <si>
    <t>38 ms</t>
  </si>
  <si>
    <t>62 ms</t>
  </si>
  <si>
    <t>UCDP PerformanceAnalysis(1M_READ_260TPS_1M_WRITE_260TPS)_05032025.docx</t>
  </si>
  <si>
    <t>155163 (Read)</t>
  </si>
  <si>
    <t>309433 (Write)</t>
  </si>
  <si>
    <t>35 ms</t>
  </si>
  <si>
    <t>58 ms</t>
  </si>
  <si>
    <t>310835 (Read)</t>
  </si>
  <si>
    <t>465022 (Write)</t>
  </si>
  <si>
    <t>33 ms</t>
  </si>
  <si>
    <t>54 ms</t>
  </si>
  <si>
    <t>466963 (Read)</t>
  </si>
  <si>
    <t>621117 (Write)</t>
  </si>
  <si>
    <t>52 ms</t>
  </si>
  <si>
    <t>622773 (Read)</t>
  </si>
  <si>
    <t>50 mins</t>
  </si>
  <si>
    <t>777279 (Write)</t>
  </si>
  <si>
    <t>50 ms</t>
  </si>
  <si>
    <t>778981 (Read)</t>
  </si>
  <si>
    <t>933234 (Write)</t>
  </si>
  <si>
    <t>934850 (Read)</t>
  </si>
  <si>
    <t>64 mins</t>
  </si>
  <si>
    <t>Execution #1</t>
  </si>
  <si>
    <t>Execution #2</t>
  </si>
  <si>
    <t>Phone no in SIT</t>
  </si>
  <si>
    <t>Hammer Step Label</t>
  </si>
  <si>
    <t>Planned Execution Date 1st Round</t>
  </si>
  <si>
    <t>No.of requests</t>
  </si>
  <si>
    <t>Average (sec)</t>
  </si>
  <si>
    <t>90th Percentile (sec)</t>
  </si>
  <si>
    <t>Confluence Link</t>
  </si>
  <si>
    <t>Planned Execution Date 2nd Round</t>
  </si>
  <si>
    <t>Planned Execution Date 3rd Round</t>
  </si>
  <si>
    <t>Avg response time(ms)</t>
  </si>
  <si>
    <t>90%Line (ms)</t>
  </si>
  <si>
    <t>Test Cases</t>
  </si>
  <si>
    <t>Report Outage No ANI match</t>
  </si>
  <si>
    <t>Dial the FPL customer service number and the system greets with the welcome message</t>
  </si>
  <si>
    <t>FPL customer service No</t>
  </si>
  <si>
    <t>Place Call</t>
  </si>
  <si>
    <t>https://confluence.nexteraenergy.com/x/S0buJQ</t>
  </si>
  <si>
    <t>System prompts an emergency message</t>
  </si>
  <si>
    <t/>
  </si>
  <si>
    <t>Recognize Greeting</t>
  </si>
  <si>
    <t>System play HVCA No ANI</t>
  </si>
  <si>
    <t>Recognize Emergency Message</t>
  </si>
  <si>
    <t>Customer prompts the Report an Outage from the limited options</t>
  </si>
  <si>
    <t>{Report Outage}</t>
  </si>
  <si>
    <t>Recognize Please Wait</t>
  </si>
  <si>
    <t>Customer prompts "Yes"</t>
  </si>
  <si>
    <t>{Yes}</t>
  </si>
  <si>
    <t>Recognize Outage Menu</t>
  </si>
  <si>
    <t>Customer provided account number</t>
  </si>
  <si>
    <t>Account Number</t>
  </si>
  <si>
    <t>Say 1</t>
  </si>
  <si>
    <t>Wait message</t>
  </si>
  <si>
    <t>Recognize Acct or Phone Number</t>
  </si>
  <si>
    <t>Say 2</t>
  </si>
  <si>
    <t>Recognize Enter Acct Number</t>
  </si>
  <si>
    <t>Press 2</t>
  </si>
  <si>
    <t>Recognize Wait Message</t>
  </si>
  <si>
    <t>System Prompts</t>
  </si>
  <si>
    <t>Recognize Service Address</t>
  </si>
  <si>
    <t>Customer ends the call</t>
  </si>
  <si>
    <t>Say 3</t>
  </si>
  <si>
    <t>Recognize Completely without power</t>
  </si>
  <si>
    <t>Say 4</t>
  </si>
  <si>
    <t>Recognize Creating Outage Report</t>
  </si>
  <si>
    <t>Recognize Callback</t>
  </si>
  <si>
    <t>Say</t>
  </si>
  <si>
    <t>Recognize Submitted your report</t>
  </si>
  <si>
    <t>Recognize Restoration Estimate</t>
  </si>
  <si>
    <t>Release Call</t>
  </si>
  <si>
    <t>Report Outage ANI match</t>
  </si>
  <si>
    <t>Dial the FPL customer service number.</t>
  </si>
  <si>
    <t>System prompts emergency alert message</t>
  </si>
  <si>
    <t>System waits for a while and prompts</t>
  </si>
  <si>
    <t>Recognize Located Account</t>
  </si>
  <si>
    <t>Customer prompts as "Yes"</t>
  </si>
  <si>
    <t>{yes}</t>
  </si>
  <si>
    <t>Customer prompts as "yes, power outage in our house"</t>
  </si>
  <si>
    <t>Recognize Calling to Report an Outage</t>
  </si>
  <si>
    <t>Customer prompts as "ok"</t>
  </si>
  <si>
    <t>{ok}</t>
  </si>
  <si>
    <t>Recognize Completely Without Power</t>
  </si>
  <si>
    <t>Recognize Contact you on this number</t>
  </si>
  <si>
    <t>Wait</t>
  </si>
  <si>
    <t>Police/Fire</t>
  </si>
  <si>
    <t>Police/Fire/Publix dials outage toll free number (NW + Legacy Number): 833-919-0943. Tester to call from a phone number which is not present in the FPL database and results in No ANI Match</t>
  </si>
  <si>
    <t>Outage toll free number(NW + Legacy Number): 833-919-0943</t>
  </si>
  <si>
    <t>IVR Wait prompt</t>
  </si>
  <si>
    <t>IVR plays prompt to caller</t>
  </si>
  <si>
    <t>{711} or {777}</t>
  </si>
  <si>
    <t>Caller enters PIN (777 or 711)</t>
  </si>
  <si>
    <t>Recognize Menu</t>
  </si>
  <si>
    <t>Press</t>
  </si>
  <si>
    <t>Recognize Transfer to Agents</t>
  </si>
  <si>
    <t>Outage Update No ANI Match</t>
  </si>
  <si>
    <t>Dial the FPL customer service number</t>
  </si>
  <si>
    <t>System prompt Emergency situation message</t>
  </si>
  <si>
    <t>{Outage Update}</t>
  </si>
  <si>
    <t>{Account number}
7126746168</t>
  </si>
  <si>
    <t>Press 1</t>
  </si>
  <si>
    <t>customer provided account number</t>
  </si>
  <si>
    <t>System prompt if the customer is reaching out for an outage update</t>
  </si>
  <si>
    <t>Syetm plays message about Outage</t>
  </si>
  <si>
    <t>Press 3</t>
  </si>
  <si>
    <t>System prompt ETR message</t>
  </si>
  <si>
    <t>Customer say Ok</t>
  </si>
  <si>
    <t>System shares ticket number</t>
  </si>
  <si>
    <t>With HVCA mode as ON, system will provide an end message</t>
  </si>
  <si>
    <t>Recognize Difficulty without power</t>
  </si>
  <si>
    <t>Customer end the call</t>
  </si>
  <si>
    <t>Recognize Latest Update</t>
  </si>
  <si>
    <t>Recognize Outage Update</t>
  </si>
  <si>
    <t>Outage Update with ANI Match</t>
  </si>
  <si>
    <t>Wait messgae</t>
  </si>
  <si>
    <t>System prompt as phone number located</t>
  </si>
  <si>
    <t>System prompt for confirm service address</t>
  </si>
  <si>
    <t>Recognize Calling for an Outage Update</t>
  </si>
  <si>
    <t>{disconnect Call}</t>
  </si>
  <si>
    <t>Recognize Timing</t>
  </si>
  <si>
    <t>Pause</t>
  </si>
  <si>
    <t>StormLine</t>
  </si>
  <si>
    <t>Employee makes a call</t>
  </si>
  <si>
    <t>-</t>
  </si>
  <si>
    <t>IVR requests employee's input.
Employee Presses 2</t>
  </si>
  <si>
    <t>Recognize ASM Message</t>
  </si>
  <si>
    <t>Employee Presses 1</t>
  </si>
  <si>
    <t>System prompts</t>
  </si>
  <si>
    <t>Recognize Repeat of Dynamic Message</t>
  </si>
  <si>
    <t xml:space="preserve">Customer hangs up </t>
  </si>
  <si>
    <t> </t>
  </si>
  <si>
    <t>Wiredown</t>
  </si>
  <si>
    <t>Dial the FPL customer service number. Tester to call from a phone number which is not present in the FPL database and results in No ANI Match</t>
  </si>
  <si>
    <t>Customer says down wire</t>
  </si>
  <si>
    <t>{Down wire}</t>
  </si>
  <si>
    <t>Customer waits as they are transfered to agent</t>
  </si>
  <si>
    <t>ANI Match Authentication with single address</t>
  </si>
  <si>
    <t>Not Run</t>
  </si>
  <si>
    <t xml:space="preserve">XDX-TC-18653 </t>
  </si>
  <si>
    <t>System prompt that account is located with phone</t>
  </si>
  <si>
    <t>Customer does not confirm service address</t>
  </si>
  <si>
    <t>Customer says No</t>
  </si>
  <si>
    <t>Customer says account number</t>
  </si>
  <si>
    <t>Customer enters 10 digits valid account number</t>
  </si>
  <si>
    <t>Check for active ticket</t>
  </si>
  <si>
    <t>Customer end call</t>
  </si>
  <si>
    <t>ANI Match Authentication with last name</t>
  </si>
  <si>
    <t>XDX-TC-18977</t>
  </si>
  <si>
    <t>System prompts Emergency situation message</t>
  </si>
  <si>
    <t>System prompt for account located with phone</t>
  </si>
  <si>
    <t>System prompt read first 5 char prompt</t>
  </si>
  <si>
    <t>customer say NO, system prompt for prefer_accout_phone_number</t>
  </si>
  <si>
    <t>customer say phone number, system prompt for account number enter</t>
  </si>
  <si>
    <t>system prompt for last name phone</t>
  </si>
  <si>
    <t>customer say yes</t>
  </si>
  <si>
    <t>Caller disconnects</t>
  </si>
  <si>
    <t>Report an Outage</t>
  </si>
  <si>
    <t>Customer Dial the FPL customer service number and is greeted by the welcome message</t>
  </si>
  <si>
    <t>XDX-TC-19188</t>
  </si>
  <si>
    <t>System confirms account location using the phone number</t>
  </si>
  <si>
    <t>Customer prompts as "OK"</t>
  </si>
  <si>
    <t>Customer prompts as "Sí"</t>
  </si>
  <si>
    <t>Customer prompts as "Sí" to confirm their entire property is without power</t>
  </si>
  <si>
    <t>Customer hangs up</t>
  </si>
  <si>
    <t>Get Outage update with ETR information</t>
  </si>
  <si>
    <t>XDX-TC-19378</t>
  </si>
  <si>
    <t>System plays area code specific message and not generic ASM</t>
  </si>
  <si>
    <t>System plays message about Outage</t>
  </si>
  <si>
    <t>System plays the Dispatch Message for SNC Ticket with Ticket Status as 'enroute'</t>
  </si>
  <si>
    <t>System directs to flood message</t>
  </si>
  <si>
    <t>System plays the reason for outage</t>
  </si>
  <si>
    <t>System plays a dynamic message on the time the power will be restored</t>
  </si>
  <si>
    <t>System plays a time disclaimer</t>
  </si>
  <si>
    <t>Report Downwire with no trunk available</t>
  </si>
  <si>
    <t>"Welcome to Florida Power and Light! Para espa ol marque nueve."</t>
  </si>
  <si>
    <t>XDX-TC-16017</t>
  </si>
  <si>
    <t>Customer is given a message saying we cannot help</t>
  </si>
  <si>
    <t>,</t>
  </si>
  <si>
    <t>Verify Load Control Data while reporting an Outage</t>
  </si>
  <si>
    <t xml:space="preserve">
Dial the FPL customer service number and the system greets with the welcome message</t>
  </si>
  <si>
    <t>XDX-TC-19954</t>
  </si>
  <si>
    <t>Customer prompts "Ok"</t>
  </si>
  <si>
    <t>Customer prompts "No"</t>
  </si>
  <si>
    <t>Customer responds yes to the on call participation prompt</t>
  </si>
  <si>
    <t>Customer prompts "Yes" to learning more System informs the customer about the appliances for which the power is paused temporarily along with the start &amp; projected end time. It also informs the customer the total amount saved by the customer through the OnCall program</t>
  </si>
  <si>
    <t>Customer prompts "No" when asked if they are experiencing a loss of power to additional appliances System prompts GoodBye</t>
  </si>
  <si>
    <t>Customer ends the conversation</t>
  </si>
  <si>
    <t>No Match Authentication</t>
  </si>
  <si>
    <t>Legacy Business customer dials outage toll free number (NW + Legacy Number): 833-919-0943.         "Tester to call from a phone number which is not present in the FPL database and results in No ANI Match"</t>
  </si>
  <si>
    <t>XDX-TC-19486</t>
  </si>
  <si>
    <t>Customer says "I want to report an outage"</t>
  </si>
  <si>
    <t>Customer says "I can provide the account number"</t>
  </si>
  <si>
    <t>Customer says an invalid account number: "1234"</t>
  </si>
  <si>
    <t>Customer says "No"</t>
  </si>
  <si>
    <t>Authentication with multiple addresses</t>
  </si>
  <si>
    <t>XDX-TC-18974</t>
  </si>
  <si>
    <t>system prompt that tells user they have multiple addresses</t>
  </si>
  <si>
    <t>system notices an active ticket as asks user if they are calling for an outage update</t>
  </si>
  <si>
    <t>User disconnects the call</t>
  </si>
  <si>
    <t>Intergated Release</t>
  </si>
  <si>
    <t>Performance Test Execution 
(Response Time Capturing page)</t>
  </si>
  <si>
    <t>Planned Execution Start Date</t>
  </si>
  <si>
    <t>Planned Execution End Date</t>
  </si>
  <si>
    <t>Rebased Execution Start Date</t>
  </si>
  <si>
    <t>Rebased Execution End Date</t>
  </si>
  <si>
    <t>Avg response time(s)</t>
  </si>
  <si>
    <t>90%Line</t>
  </si>
  <si>
    <t>Rerun avg  Response time for account 360 page with 2401 requestd</t>
  </si>
  <si>
    <t>Rerun 90%Line for account 360 page with 2401 requestd</t>
  </si>
  <si>
    <t xml:space="preserve">Avg response time(s ) </t>
  </si>
  <si>
    <t>Comments/</t>
  </si>
  <si>
    <t>Performance test results csv files from Jmeter</t>
  </si>
  <si>
    <t>IR1</t>
  </si>
  <si>
    <t>Appointment Booking( worktype as EESA)</t>
  </si>
  <si>
    <t>1.Login to salesforce</t>
  </si>
  <si>
    <t>Sravya Polavarapu</t>
  </si>
  <si>
    <t>Average is useful, but is not as strict as 90% line. It allows for large deviations and diminishes their impact when averaged out with fast responses.
Web focuses on 90% line since that metric will truly tell us how many transactions are past SLA.</t>
  </si>
  <si>
    <t xml:space="preserve">
40% of users will leave a website if it takes more than 5 seconds to load.
Aiming for a page load time under 5 seconds is crucial for a positive user experience and can even impact search engine rankings. </t>
  </si>
  <si>
    <t>90% Line automatically calculated in JMeter tool.</t>
  </si>
  <si>
    <t>https://nee.sharepoint.com/teams/EXT_CIStoSAP/Shared%20Documents/Forms/AllItems.aspx?id=%2Fteams%2FEXT%5FCIStoSAP%2FShared%20Documents%2FOperational%20Readiness%20and%20Testing%2F00%2E%20Integrated%20Releases%2F01%2D%20Integrated%20Release%201%2E0%2F02%2E%20UAT%2F03%2E%20Performance%20Testing%2FUnified%20CRM%2D%20Performance%20Test%2FField%20Services&amp;viewid=7c6b97d2%2De29a%2D4b27%2D98e7%2D3f5d5bd11dff&amp;CT=1744734421771&amp;OR=OWA%2DNT%2DMail&amp;CID=fdad4da5%2D3ad1%2D9d3f%2Ddbc8%2Ddc1163ee8893&amp;e=5%3A114072a8299643868b1c4fc0e1a4594b&amp;sharingv2=true&amp;fromShare=true&amp;at=9&amp;FolderCTID=0x012000D735ADCC1E28D24684C83D05ABBC84C7</t>
  </si>
  <si>
    <t>2. Home page</t>
  </si>
  <si>
    <t>Sunanda Poda</t>
  </si>
  <si>
    <t>3. Search AccountNumber</t>
  </si>
  <si>
    <t>Search with account number page</t>
  </si>
  <si>
    <t>4. account Dashboard</t>
  </si>
  <si>
    <t>Loading account dashboard page</t>
  </si>
  <si>
    <t>SFAD-2104- Resolved</t>
  </si>
  <si>
    <t>5. click on appointment</t>
  </si>
  <si>
    <t>Loading appointment page</t>
  </si>
  <si>
    <t>6. Click on worktype EESA_and_Next</t>
  </si>
  <si>
    <t>Worktype loading page</t>
  </si>
  <si>
    <t>SFFIELD-1756,SFFIELD-1797 to be closed and addressed in the story SFFIELD-1812</t>
  </si>
  <si>
    <t>7. Click on time slot</t>
  </si>
  <si>
    <t>Appointment date and time slot page</t>
  </si>
  <si>
    <t>8. click on submit</t>
  </si>
  <si>
    <t>submitting appointment</t>
  </si>
  <si>
    <t>Appointment Booking( worktype as SURV)</t>
  </si>
  <si>
    <t>SFAD-2104- resolved</t>
  </si>
  <si>
    <t>Loading appintment page</t>
  </si>
  <si>
    <t>6. Click on worktype SURV</t>
  </si>
  <si>
    <t>Worktype_click_next</t>
  </si>
  <si>
    <t>Appointment Booking( worktype as BEE)</t>
  </si>
  <si>
    <t>6. Click on worktype business energy evaluation</t>
  </si>
  <si>
    <t>loading worktype</t>
  </si>
  <si>
    <t>API</t>
  </si>
  <si>
    <t>Energy Analyzer</t>
  </si>
  <si>
    <t>Get Alerts</t>
  </si>
  <si>
    <t>IR2.0</t>
  </si>
  <si>
    <t>Appointment Creation(Meter Maintainence}</t>
  </si>
  <si>
    <t>1. Login to Salesforce</t>
  </si>
  <si>
    <t>2. Home Page</t>
  </si>
  <si>
    <t>3. Search Account Number</t>
  </si>
  <si>
    <t>4. Account Dashboard</t>
  </si>
  <si>
    <t xml:space="preserve"> Failed</t>
  </si>
  <si>
    <t>https://jira.nexteraenergy.com/browse/SFAD-9356/ converted to CS field issue:
 https://jira.nexteraenergy.com/browse/SFFIELD-3815</t>
  </si>
  <si>
    <t>5.Click on Book Appointment</t>
  </si>
  <si>
    <t>6. Select Order Type and FMO Classification</t>
  </si>
  <si>
    <t>7. Click on NExt</t>
  </si>
  <si>
    <t>8. Select work type and click on Next</t>
  </si>
  <si>
    <t>Failed</t>
  </si>
  <si>
    <t>https://jira.nexteraenergy.com/browse/SFFIELD-3709</t>
  </si>
  <si>
    <t>9. Select 2 hrs slot</t>
  </si>
  <si>
    <t>10 . Submit  appointment</t>
  </si>
  <si>
    <t>Helper Ticket Creation</t>
  </si>
  <si>
    <t>1. Login to salesforce</t>
  </si>
  <si>
    <t>3. Navigate to Field Force</t>
  </si>
  <si>
    <t>4. Navigate to service appointments</t>
  </si>
  <si>
    <t>5. Search for service appointment</t>
  </si>
  <si>
    <t>6. Open service appointment</t>
  </si>
  <si>
    <t>7. click on helper ticket create</t>
  </si>
  <si>
    <t>8. Click on proceed button</t>
  </si>
  <si>
    <t>TimeSheets</t>
  </si>
  <si>
    <t>3. navigate to Timesheets</t>
  </si>
  <si>
    <t>4. Click on New Timesheets</t>
  </si>
  <si>
    <t xml:space="preserve">5. Enter Timesheet details and save </t>
  </si>
  <si>
    <t>6. Submit Timesheet</t>
  </si>
  <si>
    <t>7. Submit 5 Timesheet entries</t>
  </si>
  <si>
    <t>8. Submit 20 Timesheet entries</t>
  </si>
  <si>
    <t>Meter Reading Range</t>
  </si>
  <si>
    <t>Send Letter</t>
  </si>
  <si>
    <t>Customer Interactions</t>
  </si>
  <si>
    <t>Field Note</t>
  </si>
  <si>
    <t>Meter Ping</t>
  </si>
  <si>
    <t>https://jira.nexteraenergy.com/browse/SFFIELD-3797    (CLOSED)</t>
  </si>
  <si>
    <t>Platform events</t>
  </si>
  <si>
    <t>1. work order creation(RMM)</t>
  </si>
  <si>
    <t>2. Work order Update as scheduled</t>
  </si>
  <si>
    <t>3. Work Order Update as Dispatched</t>
  </si>
  <si>
    <t>https://jira.nexteraenergy.com/browse/SFFIELD-3795</t>
  </si>
  <si>
    <t>4. Work order update as Enroute</t>
  </si>
  <si>
    <t>5. Work Order update as InProgress</t>
  </si>
  <si>
    <t>6. Work Order update as Cannot Complete</t>
  </si>
  <si>
    <t>MeterPing</t>
  </si>
  <si>
    <t>https://confluence.nexteraenergy.com/spaces/MULESFTINT/pages/610788133/IR2.0+Field+Service+-+Meter+Ping+-+CRM+Field</t>
  </si>
  <si>
    <t>Moveout</t>
  </si>
  <si>
    <t>Moveout Submission</t>
  </si>
  <si>
    <t>No Legacy Standard as API's developed as brand new API's</t>
  </si>
  <si>
    <t>We Performed Performance testing in J-meter and these 90% Line Results captured from tool.</t>
  </si>
  <si>
    <t>Kuna, Sudhir kumar</t>
  </si>
  <si>
    <t>Validate End Date</t>
  </si>
  <si>
    <t>Manage Programs</t>
  </si>
  <si>
    <t>Manage Programs enrollment</t>
  </si>
  <si>
    <t>Koka, Srinivasu
Kuna Sudhir kumar</t>
  </si>
  <si>
    <t>getDetails</t>
  </si>
  <si>
    <t>getEligiblility</t>
  </si>
  <si>
    <t>postCorrespondence</t>
  </si>
  <si>
    <t>https://confluence.nexteraenergy.com/pages/viewpage.action?pageId=610763872&amp;preview=/610763872/610763899/postCorresspondance-utility-papi-2400-user.pdf</t>
  </si>
  <si>
    <t>Account 360</t>
  </si>
  <si>
    <t>https://confluence.nexteraenergy.com/display/MULESFTINT/Performance+Test+Results%3A+account360+and+getAlerts?preview=/604966771/604972120/account360.pdf</t>
  </si>
  <si>
    <t>getAlerts</t>
  </si>
  <si>
    <t>https://confluence.nexteraenergy.com/display/MULESFTINT/Performance+Test+Results%3A+account360+and+getAlerts?preview=/604966771/604972134/getAlerts.pdf</t>
  </si>
  <si>
    <t>Account maintenance</t>
  </si>
  <si>
    <t>Validate Email</t>
  </si>
  <si>
    <t>Venkatesh</t>
  </si>
  <si>
    <t>https://confluence.nexteraenergy.com/display/MULESFTINT/Performance+Test+Results+%3A+AccountMaintenance-papi?preview=/610765166/610768760/validate-email.pdf</t>
  </si>
  <si>
    <t>Validate Phone</t>
  </si>
  <si>
    <t>https://confluence.nexteraenergy.com/display/MULESFTINT/Performance+Test+Results+%3A+AccountMaintenance-papi?preview=/610765166/610765213/validate-Phone.pdf</t>
  </si>
  <si>
    <t>Validate address</t>
  </si>
  <si>
    <t>https://confluence.nexteraenergy.com/display/MULESFTINT/Performance+Test+Results+%3A+AccountMaintenance-papi?preview=/610765166/610765184/validateAddress-papi.pdf</t>
  </si>
  <si>
    <t>Update Phone</t>
  </si>
  <si>
    <t>Update Email</t>
  </si>
  <si>
    <t>Update mailining address</t>
  </si>
  <si>
    <t>Update Customer ID</t>
  </si>
  <si>
    <t>Utility</t>
  </si>
  <si>
    <t>Integrated Release</t>
  </si>
  <si>
    <t>Case Creation closure (Update personal Information)</t>
  </si>
  <si>
    <t>No benchmark data currently available for Case Management since the unified CRM system newly developed</t>
  </si>
  <si>
    <t xml:space="preserve">40% of users will leave a website if it takes more than 5 seconds to load.
Aiming for a page load time under 5 seconds is crucial for a positive user experience and can even impact search engine rankings. </t>
  </si>
  <si>
    <t xml:space="preserve">90% Line automatically calculated in JMeter tool.
</t>
  </si>
  <si>
    <t>2. Homepage</t>
  </si>
  <si>
    <t>3. click on create case</t>
  </si>
  <si>
    <t xml:space="preserve">Yes, Create Case page loading time
Verify Page Load time for Create Case functionaility, how the page behaves under different user load scenarios, Time for all page requests to receive their response from server. </t>
  </si>
  <si>
    <t xml:space="preserve">4. select sub category as update personal information </t>
  </si>
  <si>
    <t>yes</t>
  </si>
  <si>
    <t>5. enter sub category details</t>
  </si>
  <si>
    <t>6. click on submit</t>
  </si>
  <si>
    <t>Yes, Case Creation page loading time</t>
  </si>
  <si>
    <t>7. Task creation</t>
  </si>
  <si>
    <t>8. task close</t>
  </si>
  <si>
    <t>Yes,</t>
  </si>
  <si>
    <t>9. case close</t>
  </si>
  <si>
    <t xml:space="preserve">Case Creation and close (fpl.com/mobileapp) </t>
  </si>
  <si>
    <t>4. select fpl.com/mobileapp</t>
  </si>
  <si>
    <t>5. select subcategory as fpl.com/mobileapp</t>
  </si>
  <si>
    <t>9.case close</t>
  </si>
  <si>
    <t>Case Creation and close(Moveout date correction)</t>
  </si>
  <si>
    <t>"Yes, Create Case page loading time
Verify Page Load time for Create Case functionaility, how the page behaves under different user load scenarios, Time for all page requests to receive their response from server. "</t>
  </si>
  <si>
    <t>4. select subcategory as moveout date correction</t>
  </si>
  <si>
    <t>7. task creation</t>
  </si>
  <si>
    <t>Case Creation and close (Moveout master account)</t>
  </si>
  <si>
    <t>4. select subactegory as moveout master account</t>
  </si>
  <si>
    <t>Case Creation and close(Light Removal)</t>
  </si>
  <si>
    <t>4. select subcategory as light removal</t>
  </si>
  <si>
    <t>Case Creation and close(billing programs fixed rate)</t>
  </si>
  <si>
    <t>4. select subcategory as billing programs-fixed rate</t>
  </si>
  <si>
    <t>Manual case Creation(Franchise fee enquiry As subcategory)</t>
  </si>
  <si>
    <t>3. Click on createcase</t>
  </si>
  <si>
    <t>4.Select franchise fee enquiry</t>
  </si>
  <si>
    <t>5. Submit Case</t>
  </si>
  <si>
    <t>6. Click on created case</t>
  </si>
  <si>
    <t>7. Click on New Task</t>
  </si>
  <si>
    <t>8. Create Task</t>
  </si>
  <si>
    <t>9. Close Task</t>
  </si>
  <si>
    <t>10.Change owner</t>
  </si>
  <si>
    <t>11. Click on Edit Case</t>
  </si>
  <si>
    <t>12. Choose Subcategory Details page</t>
  </si>
  <si>
    <t>13. Close Case</t>
  </si>
  <si>
    <t>Bulk Updates(Manual Cases)</t>
  </si>
  <si>
    <t>3. Navigate to case List View</t>
  </si>
  <si>
    <t>4. Select Caes from the list</t>
  </si>
  <si>
    <t>5. Change owner</t>
  </si>
  <si>
    <t>6. Click on Update</t>
  </si>
  <si>
    <t>7. Submit Update</t>
  </si>
  <si>
    <r>
      <rPr>
        <sz val="11"/>
        <color rgb="FF000000"/>
        <rFont val="Calibri"/>
        <scheme val="minor"/>
      </rPr>
      <t xml:space="preserve">Bulk Updates(BPEM Cases- C200), 
</t>
    </r>
    <r>
      <rPr>
        <sz val="11"/>
        <color rgb="FFFF0000"/>
        <rFont val="Calibri"/>
        <scheme val="minor"/>
      </rPr>
      <t xml:space="preserve">Taylor Trang - recommended mix of SAP BPEMS - Meter to Cash BPEM - (IN, MR, BL):
EQ2 have enough customer to test not in EQ1
mix of all BPEMs(IN,MR, BL)- 5000
SAP automation team - Megan's - Raja </t>
    </r>
  </si>
  <si>
    <t>BPEM Cases(Task Creation,Closure, Close Case)</t>
  </si>
  <si>
    <t>2. Home Pgae</t>
  </si>
  <si>
    <t>3. Global search for Case Number</t>
  </si>
  <si>
    <t>4. Click on Open case</t>
  </si>
  <si>
    <t>5. Click On New Task</t>
  </si>
  <si>
    <t>6. Create Task</t>
  </si>
  <si>
    <t>7. Close Task</t>
  </si>
  <si>
    <t>8.Change Owner</t>
  </si>
  <si>
    <t>9. Click on Edit case</t>
  </si>
  <si>
    <t>10. Choose SubCategory details Page</t>
  </si>
  <si>
    <t>11. Close Case</t>
  </si>
  <si>
    <t>IR2 Performance Testing Results</t>
  </si>
  <si>
    <t>Workstreams Involved</t>
  </si>
  <si>
    <t>Total Test Scenarios</t>
  </si>
  <si>
    <t>Scenarios Executed</t>
  </si>
  <si>
    <t>Scenarios Passed</t>
  </si>
  <si>
    <t>Scenarios Failed</t>
  </si>
  <si>
    <t>Pass %</t>
  </si>
  <si>
    <t>Status (Pass/Fail)</t>
  </si>
  <si>
    <t>Comments</t>
  </si>
  <si>
    <t>4 scenarios Passed</t>
  </si>
  <si>
    <t>Signed off</t>
  </si>
  <si>
    <t>CS Field Services</t>
  </si>
  <si>
    <t>12/22:Out of 10 planned scenarios, 10 scenarios executed (8 passed, 2 failed)</t>
  </si>
  <si>
    <t>https://jira.nexteraenergy.com/browse/SFFIELD-3797</t>
  </si>
  <si>
    <t>Defect</t>
  </si>
  <si>
    <t>Average response time(s)</t>
  </si>
  <si>
    <t>Rerun avg  Response time for account 360 page</t>
  </si>
  <si>
    <t>Rerun 90%Line for account 360 page</t>
  </si>
  <si>
    <t>Performance test results csv files from jmeter</t>
  </si>
  <si>
    <t>Search</t>
  </si>
  <si>
    <t>1.Login to Salesforce</t>
  </si>
  <si>
    <t>2. HomePage</t>
  </si>
  <si>
    <t>3.Search AccountNumber</t>
  </si>
  <si>
    <t>yes, search with accountnumber</t>
  </si>
  <si>
    <t>4.Search AccountName</t>
  </si>
  <si>
    <t>search with account name</t>
  </si>
  <si>
    <t>5. Search BusinessPartnerId</t>
  </si>
  <si>
    <t>search with business partner id</t>
  </si>
  <si>
    <t>6. Contract Number</t>
  </si>
  <si>
    <t>search with contract number</t>
  </si>
  <si>
    <t>7. Search Email address</t>
  </si>
  <si>
    <t>search with email address</t>
  </si>
  <si>
    <t>8. Search PhoneNUmber</t>
  </si>
  <si>
    <t>search with phone number</t>
  </si>
  <si>
    <t>9. Search SSN/SIN</t>
  </si>
  <si>
    <t>searchwith SSN/SIN</t>
  </si>
  <si>
    <t>10. Search TaxId</t>
  </si>
  <si>
    <t>Search with taxid</t>
  </si>
  <si>
    <t>11. Search InstallationNUmber</t>
  </si>
  <si>
    <t>Search with Installation NUmber</t>
  </si>
  <si>
    <t>12. Search MeterNUmber</t>
  </si>
  <si>
    <t>Search with meter number</t>
  </si>
  <si>
    <t>13. Search Premise Number</t>
  </si>
  <si>
    <t>Search with premise number</t>
  </si>
  <si>
    <t>Account Maintainence (phone and email)</t>
  </si>
  <si>
    <t xml:space="preserve">Open Known Risk: https://jira.nexteraenergy.com/browse/SFAD-1363
Defect: https://jira.nexteraenergy.com/browse/SFAD-2104
we will retest this issue along with Field Testing, hence passing this test case conditionally,
Results confluence Page:
https://confluence.nexteraenergy.com/display/FPLS/Performance+Testing+Results+for+Unified+CRM+Project
</t>
  </si>
  <si>
    <t>acc_main_phone_email</t>
  </si>
  <si>
    <t>2.homepage</t>
  </si>
  <si>
    <t>Search with account number</t>
  </si>
  <si>
    <t>4.account dashboard</t>
  </si>
  <si>
    <t>Laoding account dashboard page</t>
  </si>
  <si>
    <t>5. click on account maintainence</t>
  </si>
  <si>
    <t>account maintaience page loading time</t>
  </si>
  <si>
    <t>6. select phone and email</t>
  </si>
  <si>
    <t>Loading phone and email page</t>
  </si>
  <si>
    <t>7. verify email</t>
  </si>
  <si>
    <t>verify email</t>
  </si>
  <si>
    <t>8. verify phone</t>
  </si>
  <si>
    <t>verify phone</t>
  </si>
  <si>
    <t>9. click on next (updated email and phone)</t>
  </si>
  <si>
    <t>updating phone and email page</t>
  </si>
  <si>
    <t>Account Maintainence(Res acc-customerid</t>
  </si>
  <si>
    <t>Open Known Risk: https://jira.nexteraenergy.com/browse/SFAD-1363
Defect: https://jira.nexteraenergy.com/browse/SFAD-2104
we will retest this issue along with Field Testing, hence passing this test case conditionally,
Results confluence Page:
https://confluence.nexteraenergy.com/display/FPLS/Performance+Testing+Results+for+Unified+CRM+Project</t>
  </si>
  <si>
    <t>Acc_main_res_customerid</t>
  </si>
  <si>
    <t xml:space="preserve">6. select customerid </t>
  </si>
  <si>
    <t>Loading customerid page</t>
  </si>
  <si>
    <t>7. enterPPIN and SSiN and click on next</t>
  </si>
  <si>
    <t xml:space="preserve">submitting PPIN and SSIN </t>
  </si>
  <si>
    <t>Account Maintainence(Business acc-customerid</t>
  </si>
  <si>
    <t>Acc_main_business_customerid</t>
  </si>
  <si>
    <t>7. enter taxid and next</t>
  </si>
  <si>
    <t>submitting Taxid page</t>
  </si>
  <si>
    <t>Account Maintainence(mailing address)</t>
  </si>
  <si>
    <t xml:space="preserve">Open Known Risk: https://jira.nexteraenergy.com/browse/SFAD-1363
Defect: https://jira.nexteraenergy.com/browse/SFAD-2104
we will retest this issue along with Field Testing, hence passing this test case conditionally,
</t>
  </si>
  <si>
    <t>Acc_Main_mailingaddress</t>
  </si>
  <si>
    <t>6.select mailing address</t>
  </si>
  <si>
    <t>Loading mailing address page</t>
  </si>
  <si>
    <t>7. enter new adress and next</t>
  </si>
  <si>
    <t>submitting new address page</t>
  </si>
  <si>
    <t>Open Known Risk: https://jira.nexteraenergy.com/browse/SFAD-1363
Defect: https://jira.nexteraenergy.com/browse/SFAD-2104
we will retest this issue along with Field Testing, hence passing this test case conditionally,</t>
  </si>
  <si>
    <t>3. search accountnumber</t>
  </si>
  <si>
    <t>4. account dashboard</t>
  </si>
  <si>
    <t>5.click on moveout</t>
  </si>
  <si>
    <t>Moeout loading page</t>
  </si>
  <si>
    <t>6. select contract account</t>
  </si>
  <si>
    <t>Selecting contract account page</t>
  </si>
  <si>
    <t>7. click on next</t>
  </si>
  <si>
    <t>click on next</t>
  </si>
  <si>
    <t>8. submit moveout</t>
  </si>
  <si>
    <t>Submitting moveout page</t>
  </si>
  <si>
    <t>Programs(ebill)</t>
  </si>
  <si>
    <t>ebill</t>
  </si>
  <si>
    <t>5. ebill enroll</t>
  </si>
  <si>
    <t>enbill enroll response time</t>
  </si>
  <si>
    <t>6.ebill update</t>
  </si>
  <si>
    <t>ebill update response time</t>
  </si>
  <si>
    <t>7.ebill not received</t>
  </si>
  <si>
    <t>ebill not received response time</t>
  </si>
  <si>
    <t>8.ebill discontinue</t>
  </si>
  <si>
    <t>ebill discontinue response time</t>
  </si>
  <si>
    <t>Programs(budgetbill)</t>
  </si>
  <si>
    <t>Open Known Risk: https://jira.nexteraenergy.com/browse/SFAD-1363, we will retest this issue along with Field Testing, hence passing this test case conditionally,
Defect: https://jira.nexteraenergy.com/browse/SFAD-2104</t>
  </si>
  <si>
    <t>Budget Bill</t>
  </si>
  <si>
    <t>5. Click on enroll</t>
  </si>
  <si>
    <t>click on enroll page</t>
  </si>
  <si>
    <t>6. Submit enroll</t>
  </si>
  <si>
    <t>submit enroll page</t>
  </si>
  <si>
    <t>7. click on discotinue</t>
  </si>
  <si>
    <t>click on discontinue page</t>
  </si>
  <si>
    <t xml:space="preserve"> 8. discontinue BB</t>
  </si>
  <si>
    <t>discontinue BB</t>
  </si>
  <si>
    <t>Programs(ABP)</t>
  </si>
  <si>
    <t xml:space="preserve">
Open Known Risk: https://jira.nexteraenergy.com/browse/SFAD-1363, 
we will retest this issue along with Field Testing, hence passing this test case conditionally,
Defect: https://jira.nexteraenergy.com/browse/SFAD-2104</t>
  </si>
  <si>
    <t>ABP</t>
  </si>
  <si>
    <t>5. click on update</t>
  </si>
  <si>
    <t>Click on update page</t>
  </si>
  <si>
    <t>6. ABP update</t>
  </si>
  <si>
    <t>ABP update response time</t>
  </si>
  <si>
    <t>7. Click on pause</t>
  </si>
  <si>
    <t>ABP discontinue response time</t>
  </si>
  <si>
    <t>8. submit pause</t>
  </si>
  <si>
    <t>submit pause page</t>
  </si>
  <si>
    <t>9. click on discontinue</t>
  </si>
  <si>
    <t xml:space="preserve">clickon discotinue </t>
  </si>
  <si>
    <t>10. Discontinue ABP</t>
  </si>
  <si>
    <t>discontinue ABP</t>
  </si>
  <si>
    <t>Account Dashboard</t>
  </si>
  <si>
    <t>Search Account Number</t>
  </si>
  <si>
    <t>https://nee.sharepoint.com/teams/EXT_CIStoSAP/Shared%20Documents/Forms/AllItems.aspx?id=%2Fteams%2FEXT%5FCIStoSAP%2FShared%20Documents%2FOperational%20Readiness%20and%20Testing%2F00%2E%20Integrated%20Releases%2F01%2D%20Integrated%20Release%201%2E0%2F02%2E%20UAT%2F03%2E%20Performance%20Testing%2FUnified%20CRM%2D%20Performance%20Test%2FEmployee%20desktop&amp;viewid=7c6b97d2%2De29a%2D4b27%2D98e7%2D3f5d5bd11dff&amp;CT=1744734421771&amp;OR=OWA%2DNT%2DMail&amp;CID=fdad4da5%2D3ad1%2D9d3f%2Ddbc8%2Ddc1163ee8893&amp;e=5%3A114072a8299643868b1c4fc0e1a4594b&amp;sharingv2=true&amp;fromShare=true&amp;at=9&amp;FolderCTID=0x012000D735ADCC1E28D24684C83D05ABBC84C7</t>
  </si>
  <si>
    <t>Fixed Rate</t>
  </si>
  <si>
    <t>pass</t>
  </si>
  <si>
    <t>Pass</t>
  </si>
  <si>
    <t>Click on enroll</t>
  </si>
  <si>
    <t>SFAD-6090</t>
  </si>
  <si>
    <t>Enroll fixed rate</t>
  </si>
  <si>
    <t>Click on discontinue</t>
  </si>
  <si>
    <t>discontiue fixed rate</t>
  </si>
  <si>
    <t>IR3.1</t>
  </si>
  <si>
    <t>3. Search account Number</t>
  </si>
  <si>
    <t xml:space="preserve"> Search account Number</t>
  </si>
  <si>
    <t>4. Account 360 page</t>
  </si>
  <si>
    <t xml:space="preserve"> Account 360 page</t>
  </si>
  <si>
    <t>https://jira.nexteraenergy.com/browse/CRAID-2844</t>
  </si>
  <si>
    <t>Premise 360</t>
  </si>
  <si>
    <t>3. Search premise Number</t>
  </si>
  <si>
    <t>Search premise Number</t>
  </si>
  <si>
    <t>4.  premise 360 page</t>
  </si>
  <si>
    <t xml:space="preserve"> premise 360 page</t>
  </si>
  <si>
    <t>Customer 360</t>
  </si>
  <si>
    <t>3. Search customer Number</t>
  </si>
  <si>
    <t>Search customer Number</t>
  </si>
  <si>
    <t>4. Customer 360 page</t>
  </si>
  <si>
    <t>Customer 360 page</t>
  </si>
  <si>
    <t>Mix of all 360's</t>
  </si>
  <si>
    <t>500 each type total 1500</t>
  </si>
  <si>
    <t xml:space="preserve">Agent Transfer - No Match No Input </t>
  </si>
  <si>
    <t>Vish</t>
  </si>
  <si>
    <t>XDX-TC-18986</t>
  </si>
  <si>
    <t>System prompt disambigitue 1 HVCA No input match</t>
  </si>
  <si>
    <t>System prompt No match auth HVCA</t>
  </si>
  <si>
    <t>prompt to transition to Auth</t>
  </si>
  <si>
    <t>system prompt for googbye_no_ani</t>
  </si>
  <si>
    <t>Agent Transfer - Police/Fire with PIN</t>
  </si>
  <si>
    <t>XDX-TC-19565</t>
  </si>
  <si>
    <t>System check the trunk availablity</t>
  </si>
  <si>
    <t>IVR plays agent transfer message</t>
  </si>
  <si>
    <t>Agent Trasnfer - No ANI Match Authentication with Phone number</t>
  </si>
  <si>
    <t>XDX-TC-18955</t>
  </si>
  <si>
    <t>System prompt for menu option since after no ani match occurred.</t>
  </si>
  <si>
    <t>System prompt to verify address</t>
  </si>
  <si>
    <t>system gives option to use their phone number or account number to verify</t>
  </si>
  <si>
    <t>User gives a phone number that doesnt match an account</t>
  </si>
  <si>
    <t>system tells user that number didnt match </t>
  </si>
  <si>
    <t>System tells user to call back and conversation ends </t>
  </si>
  <si>
    <t>Call ends after user disconnects the call</t>
  </si>
  <si>
    <t>Agent Transfer - Report DownWire</t>
  </si>
  <si>
    <t>Legacy Residential customer dials outage toll free number (NW + Legacy Number): 833-919-0943</t>
  </si>
  <si>
    <t>XDX-TC-19499</t>
  </si>
  <si>
    <t>Customer says "Yes" to confirm the address</t>
  </si>
  <si>
    <t>Customer says "Downed wire"</t>
  </si>
  <si>
    <t>IVR confirms trunk availability</t>
  </si>
  <si>
    <t>Call is connected with an agent</t>
  </si>
  <si>
    <t>90%Line (s)</t>
  </si>
  <si>
    <t>Test Result</t>
  </si>
  <si>
    <t>Remarks/ Additional Details</t>
  </si>
  <si>
    <t xml:space="preserve">Ebill Phase2 </t>
  </si>
  <si>
    <t>Login to webqa.fpl.com</t>
  </si>
  <si>
    <t>Ebill Phase 2</t>
  </si>
  <si>
    <t>N/A
Useful reference, but we use the stricter 90% line for our SLAs.</t>
  </si>
  <si>
    <t>~3s</t>
  </si>
  <si>
    <t xml:space="preserve">Marketing &amp; Communications provide this SLA for FPL.COM.
40% of users will leave a website if it takes more than 3 seconds to load.
Aiming for a page load time under 3 seconds is crucial for a positive user experience and can even impact search engine rankings. </t>
  </si>
  <si>
    <t>90% Line is the maximum amount of time under which 90% of transactions have been completed.
Think of it in reverse: 10% of transactions come back over this value.</t>
  </si>
  <si>
    <t>Ebill Eligiblity</t>
  </si>
  <si>
    <t>301</t>
  </si>
  <si>
    <t>Click on Ebill enrollment</t>
  </si>
  <si>
    <t>Click on Ebill Edit</t>
  </si>
  <si>
    <t>Click on Ebill discontinue</t>
  </si>
  <si>
    <t>Budget bill Eligibility</t>
  </si>
  <si>
    <t>60</t>
  </si>
  <si>
    <t>Click on Budget bill enrollment</t>
  </si>
  <si>
    <t>Click on Budget bill discontinue</t>
  </si>
  <si>
    <t>Account Maintenance</t>
  </si>
  <si>
    <t>Ankita Barik</t>
  </si>
  <si>
    <t>Account Settings</t>
  </si>
  <si>
    <t>Deeper analysis to the individual hops this transaction makes reveals that the reason this number is high is exclusively due to a call to Preferences (MongoDB) which was not part of the IR1.0 deliverables.
Our FPL Architect has decided this can be left as is since there is already a project underway to migrate MongoDB Preferences to UCDP, and will require a performance pass in the near future regardless.
UCPD + Mulesoft architects are included and aware of this information. You can review this email thread here.</t>
  </si>
  <si>
    <t>Update Mailing Address</t>
  </si>
  <si>
    <t>Move out</t>
  </si>
  <si>
    <t>Dashboard</t>
  </si>
  <si>
    <t>Chilamakurthi, Yuva sai sri
Saswat Ranjan Sahoo</t>
  </si>
  <si>
    <t>Start, Stop and Mover services</t>
  </si>
  <si>
    <t>Start service view details</t>
  </si>
  <si>
    <t>Start service edit</t>
  </si>
  <si>
    <t>Stop service view details</t>
  </si>
  <si>
    <t>Stop service edit</t>
  </si>
  <si>
    <t>Move service move from view details</t>
  </si>
  <si>
    <t>Move service move from edit</t>
  </si>
  <si>
    <t>Move service move to view details</t>
  </si>
  <si>
    <t>Move serve move to edit</t>
  </si>
  <si>
    <t>communication info</t>
  </si>
  <si>
    <t>Installation</t>
  </si>
  <si>
    <t>Disconnect date validate</t>
  </si>
  <si>
    <t>Region Type</t>
  </si>
  <si>
    <t>Mailing Address Validate</t>
  </si>
  <si>
    <t>Submit Disconnect</t>
  </si>
  <si>
    <t>ABP Phase 1</t>
  </si>
  <si>
    <t>ABP Eligiblity</t>
  </si>
  <si>
    <t>NA</t>
  </si>
  <si>
    <t>ABP Enrollment</t>
  </si>
  <si>
    <t>ABP Pause program</t>
  </si>
  <si>
    <t>ABP Resume program</t>
  </si>
  <si>
    <t>ABP Discontinue</t>
  </si>
  <si>
    <t>Account Summary</t>
  </si>
  <si>
    <t>Business Card</t>
  </si>
  <si>
    <t>Siva Kannan</t>
  </si>
  <si>
    <t>Yes</t>
  </si>
  <si>
    <t>Multi Disconnect</t>
  </si>
  <si>
    <t>List</t>
  </si>
  <si>
    <t>Account-Info</t>
  </si>
  <si>
    <t>Validate-date</t>
  </si>
  <si>
    <t>In Progress</t>
  </si>
  <si>
    <t>Blocked</t>
  </si>
  <si>
    <t>Not Applicable</t>
  </si>
  <si>
    <t>Not Executed</t>
  </si>
  <si>
    <t>Retest</t>
  </si>
  <si>
    <t xml:space="preserve">                                                                                                                                   </t>
  </si>
  <si>
    <t>Executed Scenarios</t>
  </si>
  <si>
    <t>Passed Scenarios</t>
  </si>
  <si>
    <t>Field Service</t>
  </si>
  <si>
    <t>Search AccountNumber</t>
  </si>
  <si>
    <t>Click on appointment</t>
  </si>
  <si>
    <t>Click on worktype EESA_and_Next</t>
  </si>
  <si>
    <t>Click on time slot</t>
  </si>
  <si>
    <t>Click on submit</t>
  </si>
  <si>
    <t>Click on worktype SURV</t>
  </si>
  <si>
    <t>Click on worktype business energy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</si>
</sst>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scheme val="minor"/>
    </font>
    <font>
      <b/>
      <sz val="11"/>
      <color theme="1"/>
      <name val="Calibri"/>
      <family val="2"/>
      <scheme val="minor"/>
    </font>
    <font>
      <sz val="11"/>
      <color rgb="FF000000"/>
      <name val="Calibri"/>
      <charset val="1"/>
    </font>
    <font>
      <sz val="11"/>
      <color rgb="FF000000"/>
      <name val="Calibri"/>
      <family val="2"/>
      <scheme val="minor"/>
    </font>
    <font>
      <sz val="11"/>
      <color rgb="FF000000"/>
      <name val="Calibri"/>
    </font>
    <font>
      <u/>
      <sz val="11"/>
      <color theme="10"/>
      <name val="Calibri"/>
      <family val="2"/>
      <scheme val="minor"/>
    </font>
    <font>
      <sz val="10"/>
      <color rgb="FF676A6C"/>
      <name val="-Apple-System"/>
      <charset val="1"/>
    </font>
    <font>
      <b/>
      <sz val="11"/>
      <color theme="0"/>
      <name val="Calibri"/>
      <family val="2"/>
      <scheme val="minor"/>
    </font>
    <font>
      <sz val="11"/>
      <color rgb="FFFF0000"/>
      <name val="Calibri"/>
      <family val="2"/>
      <scheme val="minor"/>
    </font>
    <font>
      <b/>
      <sz val="12"/>
      <color theme="1"/>
      <name val="Calibri"/>
      <scheme val="minor"/>
    </font>
    <font>
      <sz val="12"/>
      <color theme="1"/>
      <name val="Calibri"/>
      <scheme val="minor"/>
    </font>
    <font>
      <sz val="12"/>
      <color rgb="FF172B4D"/>
      <name val="Calibri"/>
      <scheme val="minor"/>
    </font>
    <font>
      <b/>
      <sz val="12"/>
      <color theme="1"/>
      <name val="Calibri"/>
      <family val="2"/>
      <scheme val="minor"/>
    </font>
    <font>
      <sz val="12"/>
      <color theme="1"/>
      <name val="Calibri"/>
      <family val="2"/>
      <scheme val="minor"/>
    </font>
    <font>
      <sz val="11"/>
      <color rgb="FFFF0000"/>
      <name val="Calibri"/>
      <scheme val="minor"/>
    </font>
    <font>
      <sz val="11"/>
      <color rgb="FF00B050"/>
      <name val="Calibri"/>
      <family val="2"/>
      <scheme val="minor"/>
    </font>
    <font>
      <b/>
      <sz val="14"/>
      <color theme="0"/>
      <name val="Calibri"/>
      <family val="2"/>
      <scheme val="minor"/>
    </font>
    <font>
      <b/>
      <sz val="11"/>
      <color theme="0"/>
      <name val="Calibri"/>
      <charset val="1"/>
    </font>
    <font>
      <b/>
      <sz val="10"/>
      <color theme="1"/>
      <name val="Calibri"/>
      <family val="2"/>
      <scheme val="minor"/>
    </font>
    <font>
      <sz val="10"/>
      <color theme="1"/>
      <name val="Calibri"/>
      <family val="2"/>
      <scheme val="minor"/>
    </font>
    <font>
      <sz val="10"/>
      <color rgb="FF000000"/>
      <name val="Calibri"/>
      <family val="2"/>
      <scheme val="minor"/>
    </font>
    <font>
      <sz val="10"/>
      <color indexed="8"/>
      <name val="Calibri"/>
      <family val="2"/>
      <scheme val="minor"/>
    </font>
    <font>
      <b/>
      <sz val="10"/>
      <color theme="0"/>
      <name val="Calibri"/>
      <family val="2"/>
      <scheme val="minor"/>
    </font>
    <font>
      <b/>
      <sz val="10"/>
      <color theme="0"/>
      <name val="Calibri"/>
      <family val="2"/>
    </font>
    <font>
      <sz val="11"/>
      <color rgb="FF000000"/>
      <name val="Calibri"/>
      <scheme val="minor"/>
    </font>
    <font>
      <b/>
      <sz val="24"/>
      <color theme="1"/>
      <name val="Calibri"/>
      <family val="2"/>
      <scheme val="minor"/>
    </font>
  </fonts>
  <fills count="15">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FF"/>
        <bgColor indexed="64"/>
      </patternFill>
    </fill>
    <fill>
      <patternFill patternType="solid">
        <fgColor rgb="FFF7F7F7"/>
        <bgColor indexed="64"/>
      </patternFill>
    </fill>
    <fill>
      <patternFill patternType="solid">
        <fgColor theme="9"/>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9" tint="0.59999389629810485"/>
        <bgColor indexed="64"/>
      </patternFill>
    </fill>
    <fill>
      <patternFill patternType="solid">
        <fgColor rgb="FFFF0000"/>
        <bgColor indexed="64"/>
      </patternFill>
    </fill>
    <fill>
      <patternFill patternType="solid">
        <fgColor theme="4"/>
        <bgColor indexed="64"/>
      </patternFill>
    </fill>
    <fill>
      <patternFill patternType="solid">
        <fgColor theme="5"/>
        <bgColor indexed="64"/>
      </patternFill>
    </fill>
    <fill>
      <patternFill patternType="solid">
        <fgColor theme="0" tint="-0.34998626667073579"/>
        <bgColor indexed="64"/>
      </patternFill>
    </fill>
    <fill>
      <patternFill patternType="solid">
        <fgColor rgb="FFFFFF00"/>
        <bgColor indexed="64"/>
      </patternFill>
    </fill>
  </fills>
  <borders count="10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theme="2"/>
      </left>
      <right style="thin">
        <color theme="2"/>
      </right>
      <top style="thin">
        <color theme="2"/>
      </top>
      <bottom style="thin">
        <color theme="2"/>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style="thin">
        <color rgb="FF000000"/>
      </top>
      <bottom/>
      <diagonal/>
    </border>
    <border>
      <left style="medium">
        <color rgb="FF000000"/>
      </left>
      <right/>
      <top/>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right style="thin">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right/>
      <top style="medium">
        <color rgb="FF000000"/>
      </top>
      <bottom/>
      <diagonal/>
    </border>
    <border>
      <left/>
      <right style="thin">
        <color rgb="FF000000"/>
      </right>
      <top style="medium">
        <color rgb="FF000000"/>
      </top>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style="thin">
        <color rgb="FF000000"/>
      </left>
      <right style="medium">
        <color indexed="64"/>
      </right>
      <top style="medium">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thin">
        <color auto="1"/>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right style="thin">
        <color auto="1"/>
      </right>
      <top/>
      <bottom style="thin">
        <color auto="1"/>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rgb="FF000000"/>
      </right>
      <top style="medium">
        <color indexed="64"/>
      </top>
      <bottom/>
      <diagonal/>
    </border>
    <border>
      <left/>
      <right style="medium">
        <color indexed="64"/>
      </right>
      <top style="thin">
        <color indexed="64"/>
      </top>
      <bottom/>
      <diagonal/>
    </border>
    <border>
      <left style="medium">
        <color rgb="FF000000"/>
      </left>
      <right style="thin">
        <color indexed="64"/>
      </right>
      <top style="medium">
        <color rgb="FF000000"/>
      </top>
      <bottom style="thin">
        <color indexed="64"/>
      </bottom>
      <diagonal/>
    </border>
    <border>
      <left style="thin">
        <color auto="1"/>
      </left>
      <right style="thin">
        <color auto="1"/>
      </right>
      <top style="medium">
        <color rgb="FF000000"/>
      </top>
      <bottom style="thin">
        <color auto="1"/>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bottom style="medium">
        <color rgb="FF000000"/>
      </bottom>
      <diagonal/>
    </border>
    <border>
      <left/>
      <right style="thin">
        <color indexed="64"/>
      </right>
      <top style="medium">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thin">
        <color indexed="64"/>
      </left>
      <right style="medium">
        <color rgb="FF000000"/>
      </right>
      <top/>
      <bottom style="thin">
        <color indexed="64"/>
      </bottom>
      <diagonal/>
    </border>
    <border>
      <left style="thin">
        <color indexed="64"/>
      </left>
      <right style="medium">
        <color rgb="FF000000"/>
      </right>
      <top/>
      <bottom style="thin">
        <color rgb="FF000000"/>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right/>
      <top style="medium">
        <color rgb="FF000000"/>
      </top>
      <bottom style="thin">
        <color rgb="FF000000"/>
      </bottom>
      <diagonal/>
    </border>
    <border>
      <left/>
      <right style="thin">
        <color indexed="64"/>
      </right>
      <top style="thin">
        <color indexed="64"/>
      </top>
      <bottom/>
      <diagonal/>
    </border>
    <border>
      <left style="thin">
        <color indexed="64"/>
      </left>
      <right/>
      <top/>
      <bottom style="thin">
        <color rgb="FF000000"/>
      </bottom>
      <diagonal/>
    </border>
    <border>
      <left style="medium">
        <color rgb="FF000000"/>
      </left>
      <right/>
      <top style="medium">
        <color rgb="FF000000"/>
      </top>
      <bottom/>
      <diagonal/>
    </border>
  </borders>
  <cellStyleXfs count="2">
    <xf numFmtId="0" fontId="0" fillId="0" borderId="0"/>
    <xf numFmtId="0" fontId="6" fillId="0" borderId="0" applyNumberFormat="0" applyFill="0" applyBorder="0" applyAlignment="0" applyProtection="0"/>
  </cellStyleXfs>
  <cellXfs count="657">
    <xf numFmtId="0" fontId="0" fillId="0" borderId="0" xfId="0"/>
    <xf numFmtId="0" fontId="3" fillId="0" borderId="0" xfId="0" applyFont="1"/>
    <xf numFmtId="0" fontId="0" fillId="0" borderId="0" xfId="0" applyAlignment="1">
      <alignment horizontal="center" vertical="center"/>
    </xf>
    <xf numFmtId="0" fontId="0" fillId="0" borderId="1" xfId="0" applyBorder="1"/>
    <xf numFmtId="0" fontId="2" fillId="2" borderId="1" xfId="0" applyFont="1" applyFill="1" applyBorder="1"/>
    <xf numFmtId="0" fontId="0" fillId="0" borderId="0" xfId="0" applyAlignment="1">
      <alignment wrapText="1"/>
    </xf>
    <xf numFmtId="0" fontId="0" fillId="0" borderId="1" xfId="0" applyBorder="1" applyAlignment="1">
      <alignment wrapText="1"/>
    </xf>
    <xf numFmtId="0" fontId="0" fillId="3" borderId="1" xfId="0" applyFill="1" applyBorder="1" applyAlignment="1">
      <alignment horizontal="center" vertical="center"/>
    </xf>
    <xf numFmtId="0" fontId="2" fillId="0" borderId="0" xfId="0" applyFont="1" applyAlignment="1">
      <alignment horizontal="center" wrapText="1"/>
    </xf>
    <xf numFmtId="0" fontId="7" fillId="4" borderId="0" xfId="0" applyFont="1" applyFill="1" applyAlignment="1">
      <alignment wrapText="1"/>
    </xf>
    <xf numFmtId="0" fontId="7" fillId="4" borderId="0" xfId="0" applyFont="1" applyFill="1"/>
    <xf numFmtId="0" fontId="7" fillId="5" borderId="0" xfId="0" applyFont="1" applyFill="1"/>
    <xf numFmtId="0" fontId="7" fillId="5" borderId="0" xfId="0" applyFont="1" applyFill="1" applyAlignment="1">
      <alignment wrapText="1"/>
    </xf>
    <xf numFmtId="0" fontId="2" fillId="2" borderId="0" xfId="0" applyFont="1" applyFill="1"/>
    <xf numFmtId="0" fontId="2" fillId="2" borderId="5" xfId="0" applyFont="1" applyFill="1" applyBorder="1"/>
    <xf numFmtId="0" fontId="0" fillId="0" borderId="6" xfId="0" applyBorder="1" applyAlignment="1">
      <alignment wrapText="1"/>
    </xf>
    <xf numFmtId="0" fontId="0" fillId="0" borderId="0" xfId="0" applyAlignment="1">
      <alignment horizontal="center"/>
    </xf>
    <xf numFmtId="0" fontId="0" fillId="3" borderId="4" xfId="0" applyFill="1" applyBorder="1" applyAlignment="1">
      <alignment horizontal="center" vertical="center"/>
    </xf>
    <xf numFmtId="0" fontId="8" fillId="6" borderId="1" xfId="0" applyFont="1" applyFill="1" applyBorder="1" applyAlignment="1">
      <alignment horizontal="center" wrapText="1"/>
    </xf>
    <xf numFmtId="0" fontId="2" fillId="0" borderId="0" xfId="0" applyFont="1"/>
    <xf numFmtId="0" fontId="8" fillId="6" borderId="8" xfId="0" applyFont="1" applyFill="1" applyBorder="1" applyAlignment="1">
      <alignment horizontal="center" wrapText="1"/>
    </xf>
    <xf numFmtId="0" fontId="8" fillId="6" borderId="4" xfId="0" applyFont="1" applyFill="1" applyBorder="1" applyAlignment="1">
      <alignment horizontal="center" wrapText="1"/>
    </xf>
    <xf numFmtId="0" fontId="0" fillId="3" borderId="7" xfId="0" applyFill="1" applyBorder="1" applyAlignment="1">
      <alignment horizontal="center" vertical="center"/>
    </xf>
    <xf numFmtId="0" fontId="8" fillId="6" borderId="8" xfId="0" applyFont="1" applyFill="1" applyBorder="1" applyAlignment="1">
      <alignment horizontal="center" vertical="center" wrapText="1"/>
    </xf>
    <xf numFmtId="0" fontId="0" fillId="3" borderId="1" xfId="0" applyFill="1" applyBorder="1"/>
    <xf numFmtId="0" fontId="0" fillId="3" borderId="0" xfId="0" applyFill="1"/>
    <xf numFmtId="0" fontId="0" fillId="3" borderId="7" xfId="0" applyFill="1" applyBorder="1"/>
    <xf numFmtId="0" fontId="8" fillId="8" borderId="9" xfId="0" applyFont="1" applyFill="1" applyBorder="1" applyAlignment="1">
      <alignment horizontal="center"/>
    </xf>
    <xf numFmtId="0" fontId="8" fillId="8" borderId="9" xfId="0" applyFont="1" applyFill="1" applyBorder="1" applyAlignment="1">
      <alignment horizontal="center" wrapText="1"/>
    </xf>
    <xf numFmtId="0" fontId="0" fillId="7" borderId="9" xfId="0" applyFill="1" applyBorder="1" applyAlignment="1">
      <alignment horizontal="center"/>
    </xf>
    <xf numFmtId="0" fontId="0" fillId="0" borderId="9" xfId="0" applyBorder="1" applyAlignment="1">
      <alignment horizontal="center"/>
    </xf>
    <xf numFmtId="0" fontId="0" fillId="3" borderId="9" xfId="0" applyFill="1" applyBorder="1" applyAlignment="1">
      <alignment horizontal="center"/>
    </xf>
    <xf numFmtId="0" fontId="2" fillId="0" borderId="9" xfId="0" applyFont="1" applyBorder="1" applyAlignment="1">
      <alignment horizontal="center"/>
    </xf>
    <xf numFmtId="0" fontId="8" fillId="8" borderId="9" xfId="0" applyFont="1" applyFill="1" applyBorder="1" applyAlignment="1">
      <alignment horizontal="center" vertical="center" wrapText="1"/>
    </xf>
    <xf numFmtId="0" fontId="0" fillId="7" borderId="9" xfId="0" applyFill="1" applyBorder="1" applyAlignment="1">
      <alignment horizontal="center" vertical="center"/>
    </xf>
    <xf numFmtId="0" fontId="2" fillId="7" borderId="9" xfId="0" applyFont="1" applyFill="1" applyBorder="1" applyAlignment="1">
      <alignment horizontal="center"/>
    </xf>
    <xf numFmtId="0" fontId="0" fillId="0" borderId="9" xfId="0" applyBorder="1" applyAlignment="1">
      <alignment horizontal="center" vertical="center"/>
    </xf>
    <xf numFmtId="0" fontId="2" fillId="3" borderId="9" xfId="0" applyFont="1" applyFill="1" applyBorder="1" applyAlignment="1">
      <alignment horizontal="center"/>
    </xf>
    <xf numFmtId="1" fontId="0" fillId="0" borderId="0" xfId="0" applyNumberFormat="1" applyAlignment="1">
      <alignment horizontal="center" vertical="center"/>
    </xf>
    <xf numFmtId="0" fontId="0" fillId="9" borderId="9" xfId="0" applyFill="1" applyBorder="1" applyAlignment="1">
      <alignment horizontal="center"/>
    </xf>
    <xf numFmtId="0" fontId="0" fillId="3" borderId="7" xfId="0" applyFill="1" applyBorder="1" applyAlignment="1">
      <alignment horizontal="center" vertical="center" wrapText="1"/>
    </xf>
    <xf numFmtId="0" fontId="5" fillId="0" borderId="0" xfId="0" applyFont="1" applyAlignment="1">
      <alignment horizontal="center"/>
    </xf>
    <xf numFmtId="0" fontId="2" fillId="2" borderId="5" xfId="0" applyFont="1" applyFill="1" applyBorder="1" applyAlignment="1">
      <alignment wrapText="1"/>
    </xf>
    <xf numFmtId="0" fontId="0" fillId="0" borderId="5" xfId="0" applyBorder="1" applyAlignment="1">
      <alignment horizontal="center"/>
    </xf>
    <xf numFmtId="16" fontId="0" fillId="0" borderId="5" xfId="0" applyNumberFormat="1" applyBorder="1" applyAlignment="1">
      <alignment horizontal="center"/>
    </xf>
    <xf numFmtId="0" fontId="0" fillId="0" borderId="1" xfId="0" applyBorder="1" applyAlignment="1">
      <alignment horizontal="center"/>
    </xf>
    <xf numFmtId="15" fontId="0" fillId="0" borderId="1" xfId="0" applyNumberFormat="1" applyBorder="1" applyAlignment="1">
      <alignment horizontal="center" vertical="center"/>
    </xf>
    <xf numFmtId="0" fontId="2" fillId="7" borderId="9" xfId="0" applyFont="1" applyFill="1" applyBorder="1" applyAlignment="1">
      <alignment horizontal="center" vertical="center"/>
    </xf>
    <xf numFmtId="0" fontId="0" fillId="3" borderId="9" xfId="0" applyFill="1" applyBorder="1" applyAlignment="1">
      <alignment horizontal="center" vertical="center"/>
    </xf>
    <xf numFmtId="0" fontId="8" fillId="8" borderId="0" xfId="0" applyFont="1" applyFill="1" applyAlignment="1">
      <alignment horizontal="center" wrapText="1"/>
    </xf>
    <xf numFmtId="1" fontId="0" fillId="3" borderId="9" xfId="0" applyNumberFormat="1" applyFill="1" applyBorder="1" applyAlignment="1">
      <alignment horizontal="center"/>
    </xf>
    <xf numFmtId="0" fontId="0" fillId="0" borderId="11" xfId="0" applyBorder="1"/>
    <xf numFmtId="0" fontId="2" fillId="2" borderId="13" xfId="0" applyFont="1" applyFill="1" applyBorder="1"/>
    <xf numFmtId="15" fontId="0" fillId="0" borderId="1" xfId="0" applyNumberFormat="1" applyBorder="1" applyAlignment="1">
      <alignment horizontal="center"/>
    </xf>
    <xf numFmtId="0" fontId="11" fillId="0" borderId="1" xfId="0" applyFont="1" applyBorder="1" applyAlignment="1">
      <alignment horizontal="left" wrapText="1"/>
    </xf>
    <xf numFmtId="15" fontId="11" fillId="0" borderId="1" xfId="0" applyNumberFormat="1" applyFont="1" applyBorder="1" applyAlignment="1">
      <alignment horizontal="center"/>
    </xf>
    <xf numFmtId="15" fontId="11" fillId="0" borderId="1" xfId="0" applyNumberFormat="1" applyFont="1" applyBorder="1" applyAlignment="1">
      <alignment horizontal="center" vertical="center"/>
    </xf>
    <xf numFmtId="0" fontId="11" fillId="0" borderId="1" xfId="0" applyFont="1" applyBorder="1" applyAlignment="1">
      <alignment horizontal="center"/>
    </xf>
    <xf numFmtId="0" fontId="11" fillId="0" borderId="1" xfId="0" applyFont="1" applyBorder="1"/>
    <xf numFmtId="0" fontId="11" fillId="0" borderId="1" xfId="0" applyFont="1" applyBorder="1" applyAlignment="1">
      <alignment horizontal="left" vertical="center" wrapText="1"/>
    </xf>
    <xf numFmtId="0" fontId="12" fillId="4" borderId="1" xfId="0" applyFont="1" applyFill="1" applyBorder="1" applyAlignment="1">
      <alignment horizontal="center" wrapText="1"/>
    </xf>
    <xf numFmtId="15" fontId="14" fillId="0" borderId="1" xfId="0" applyNumberFormat="1" applyFont="1" applyBorder="1" applyAlignment="1">
      <alignment horizontal="center"/>
    </xf>
    <xf numFmtId="0" fontId="11" fillId="0" borderId="1" xfId="0" applyFont="1" applyBorder="1" applyAlignment="1">
      <alignment horizontal="left" vertical="top"/>
    </xf>
    <xf numFmtId="0" fontId="11" fillId="0" borderId="16" xfId="0" applyFont="1" applyBorder="1" applyAlignment="1">
      <alignment horizontal="left" wrapText="1"/>
    </xf>
    <xf numFmtId="15" fontId="11" fillId="0" borderId="16" xfId="0" applyNumberFormat="1" applyFont="1" applyBorder="1" applyAlignment="1">
      <alignment horizontal="center"/>
    </xf>
    <xf numFmtId="15" fontId="11" fillId="0" borderId="16" xfId="0" applyNumberFormat="1" applyFont="1" applyBorder="1" applyAlignment="1">
      <alignment horizontal="center" vertical="center"/>
    </xf>
    <xf numFmtId="0" fontId="11" fillId="0" borderId="16" xfId="0" applyFont="1" applyBorder="1" applyAlignment="1">
      <alignment horizontal="center"/>
    </xf>
    <xf numFmtId="0" fontId="11" fillId="0" borderId="17" xfId="0" applyFont="1" applyBorder="1" applyAlignment="1">
      <alignment horizontal="center"/>
    </xf>
    <xf numFmtId="0" fontId="11" fillId="0" borderId="19" xfId="0" applyFont="1" applyBorder="1" applyAlignment="1">
      <alignment horizontal="center"/>
    </xf>
    <xf numFmtId="0" fontId="11" fillId="0" borderId="21" xfId="0" applyFont="1" applyBorder="1" applyAlignment="1">
      <alignment horizontal="left" wrapText="1"/>
    </xf>
    <xf numFmtId="15" fontId="11" fillId="0" borderId="21" xfId="0" applyNumberFormat="1" applyFont="1" applyBorder="1" applyAlignment="1">
      <alignment horizontal="center"/>
    </xf>
    <xf numFmtId="0" fontId="11" fillId="0" borderId="21" xfId="0" applyFont="1" applyBorder="1" applyAlignment="1">
      <alignment horizontal="center"/>
    </xf>
    <xf numFmtId="0" fontId="11" fillId="0" borderId="21" xfId="0" applyFont="1" applyBorder="1"/>
    <xf numFmtId="0" fontId="12" fillId="4" borderId="21" xfId="0" applyFont="1" applyFill="1" applyBorder="1" applyAlignment="1">
      <alignment horizontal="center" wrapText="1"/>
    </xf>
    <xf numFmtId="0" fontId="11" fillId="0" borderId="5" xfId="0" applyFont="1" applyBorder="1" applyAlignment="1">
      <alignment horizontal="left" wrapText="1"/>
    </xf>
    <xf numFmtId="15" fontId="11" fillId="0" borderId="5" xfId="0" applyNumberFormat="1" applyFont="1" applyBorder="1" applyAlignment="1">
      <alignment horizontal="center"/>
    </xf>
    <xf numFmtId="0" fontId="11" fillId="0" borderId="5" xfId="0" applyFont="1" applyBorder="1" applyAlignment="1">
      <alignment horizontal="center"/>
    </xf>
    <xf numFmtId="0" fontId="11" fillId="0" borderId="5" xfId="0" applyFont="1" applyBorder="1"/>
    <xf numFmtId="0" fontId="12" fillId="4" borderId="5" xfId="0" applyFont="1" applyFill="1" applyBorder="1" applyAlignment="1">
      <alignment horizontal="center" wrapText="1"/>
    </xf>
    <xf numFmtId="0" fontId="11" fillId="0" borderId="16" xfId="0" applyFont="1" applyBorder="1"/>
    <xf numFmtId="0" fontId="2" fillId="2" borderId="5" xfId="0" applyFont="1" applyFill="1" applyBorder="1" applyAlignment="1">
      <alignment horizontal="center" wrapText="1"/>
    </xf>
    <xf numFmtId="0" fontId="14" fillId="0" borderId="1" xfId="0" applyFont="1" applyBorder="1" applyAlignment="1">
      <alignment horizontal="left" vertical="top"/>
    </xf>
    <xf numFmtId="0" fontId="2" fillId="2" borderId="13" xfId="0" applyFont="1" applyFill="1" applyBorder="1" applyAlignment="1">
      <alignment horizontal="center" wrapText="1"/>
    </xf>
    <xf numFmtId="0" fontId="0" fillId="0" borderId="16" xfId="0" applyBorder="1"/>
    <xf numFmtId="15" fontId="0" fillId="0" borderId="16" xfId="0" applyNumberFormat="1" applyBorder="1" applyAlignment="1">
      <alignment horizontal="center" vertical="center"/>
    </xf>
    <xf numFmtId="0" fontId="0" fillId="0" borderId="16" xfId="0" applyBorder="1" applyAlignment="1">
      <alignment horizontal="center"/>
    </xf>
    <xf numFmtId="0" fontId="0" fillId="0" borderId="21" xfId="0" applyBorder="1"/>
    <xf numFmtId="15" fontId="0" fillId="0" borderId="21" xfId="0" applyNumberFormat="1" applyBorder="1" applyAlignment="1">
      <alignment horizontal="center" vertical="center"/>
    </xf>
    <xf numFmtId="0" fontId="0" fillId="0" borderId="21" xfId="0" applyBorder="1" applyAlignment="1">
      <alignment horizontal="center"/>
    </xf>
    <xf numFmtId="0" fontId="0" fillId="0" borderId="12" xfId="0" applyBorder="1" applyAlignment="1">
      <alignment horizontal="center"/>
    </xf>
    <xf numFmtId="15" fontId="0" fillId="0" borderId="16" xfId="0" applyNumberFormat="1" applyBorder="1" applyAlignment="1">
      <alignment horizontal="center"/>
    </xf>
    <xf numFmtId="15" fontId="0" fillId="0" borderId="21" xfId="0" applyNumberFormat="1" applyBorder="1" applyAlignment="1">
      <alignment horizontal="center"/>
    </xf>
    <xf numFmtId="0" fontId="9" fillId="0" borderId="1" xfId="0" applyFont="1" applyBorder="1" applyAlignment="1">
      <alignment horizontal="center"/>
    </xf>
    <xf numFmtId="0" fontId="14" fillId="0" borderId="16" xfId="0" applyFont="1" applyBorder="1" applyAlignment="1">
      <alignment horizontal="center" vertical="top"/>
    </xf>
    <xf numFmtId="0" fontId="14" fillId="0" borderId="1" xfId="0" applyFont="1" applyBorder="1" applyAlignment="1">
      <alignment horizontal="center" vertical="top"/>
    </xf>
    <xf numFmtId="1" fontId="2" fillId="9" borderId="9" xfId="0" applyNumberFormat="1" applyFont="1" applyFill="1" applyBorder="1" applyAlignment="1">
      <alignment horizontal="center"/>
    </xf>
    <xf numFmtId="0" fontId="0" fillId="10" borderId="1" xfId="0" applyFill="1" applyBorder="1" applyAlignment="1">
      <alignment horizontal="center"/>
    </xf>
    <xf numFmtId="0" fontId="4" fillId="0" borderId="1" xfId="0" applyFont="1" applyBorder="1" applyAlignment="1">
      <alignment horizontal="center"/>
    </xf>
    <xf numFmtId="0" fontId="4" fillId="10" borderId="1" xfId="0" applyFont="1" applyFill="1" applyBorder="1" applyAlignment="1">
      <alignment horizontal="center"/>
    </xf>
    <xf numFmtId="0" fontId="0" fillId="0" borderId="1" xfId="0" applyBorder="1" applyAlignment="1">
      <alignment vertical="center" wrapText="1"/>
    </xf>
    <xf numFmtId="0" fontId="2" fillId="2" borderId="28" xfId="0" applyFont="1" applyFill="1" applyBorder="1" applyAlignment="1">
      <alignment horizontal="center" wrapText="1"/>
    </xf>
    <xf numFmtId="0" fontId="2" fillId="2" borderId="29" xfId="0" applyFont="1" applyFill="1" applyBorder="1"/>
    <xf numFmtId="0" fontId="2" fillId="2" borderId="29" xfId="0" applyFont="1" applyFill="1" applyBorder="1" applyAlignment="1">
      <alignment wrapText="1"/>
    </xf>
    <xf numFmtId="0" fontId="2" fillId="2" borderId="29" xfId="0" applyFont="1" applyFill="1" applyBorder="1" applyAlignment="1">
      <alignment horizontal="center" wrapText="1"/>
    </xf>
    <xf numFmtId="0" fontId="2" fillId="2" borderId="25" xfId="0" applyFont="1" applyFill="1" applyBorder="1" applyAlignment="1">
      <alignment wrapText="1"/>
    </xf>
    <xf numFmtId="15" fontId="14" fillId="0" borderId="21" xfId="0" applyNumberFormat="1" applyFont="1" applyBorder="1" applyAlignment="1">
      <alignment horizontal="center"/>
    </xf>
    <xf numFmtId="0" fontId="0" fillId="10" borderId="21" xfId="0" applyFill="1" applyBorder="1" applyAlignment="1">
      <alignment horizontal="center"/>
    </xf>
    <xf numFmtId="0" fontId="0" fillId="0" borderId="19" xfId="0" applyBorder="1"/>
    <xf numFmtId="0" fontId="9" fillId="0" borderId="21" xfId="0" applyFont="1" applyBorder="1" applyAlignment="1">
      <alignment horizontal="center"/>
    </xf>
    <xf numFmtId="15" fontId="14" fillId="0" borderId="16" xfId="0" applyNumberFormat="1" applyFont="1" applyBorder="1" applyAlignment="1">
      <alignment horizontal="center"/>
    </xf>
    <xf numFmtId="0" fontId="0" fillId="0" borderId="17" xfId="0" applyBorder="1"/>
    <xf numFmtId="0" fontId="14" fillId="0" borderId="16" xfId="0" applyFont="1" applyBorder="1" applyAlignment="1">
      <alignment horizontal="left" vertical="top"/>
    </xf>
    <xf numFmtId="0" fontId="13" fillId="2" borderId="29" xfId="0" applyFont="1" applyFill="1" applyBorder="1"/>
    <xf numFmtId="1" fontId="0" fillId="0" borderId="9" xfId="0" applyNumberFormat="1" applyBorder="1" applyAlignment="1">
      <alignment horizontal="center"/>
    </xf>
    <xf numFmtId="0" fontId="0" fillId="0" borderId="1" xfId="0" applyBorder="1" applyAlignment="1">
      <alignment horizontal="center" vertical="top"/>
    </xf>
    <xf numFmtId="0" fontId="0" fillId="0" borderId="21" xfId="0" applyBorder="1" applyAlignment="1">
      <alignment horizontal="center" vertical="top"/>
    </xf>
    <xf numFmtId="0" fontId="2" fillId="2" borderId="5" xfId="0" applyFont="1" applyFill="1" applyBorder="1" applyAlignment="1">
      <alignment horizontal="center" vertical="center" wrapText="1"/>
    </xf>
    <xf numFmtId="0" fontId="0" fillId="0" borderId="19" xfId="0" applyBorder="1" applyAlignment="1">
      <alignment horizontal="center" vertical="top"/>
    </xf>
    <xf numFmtId="0" fontId="0" fillId="0" borderId="22" xfId="0" applyBorder="1" applyAlignment="1">
      <alignment horizontal="center" vertical="top"/>
    </xf>
    <xf numFmtId="0" fontId="9" fillId="0" borderId="0" xfId="0" applyFont="1" applyAlignment="1">
      <alignment horizontal="center" vertical="top" wrapText="1"/>
    </xf>
    <xf numFmtId="0" fontId="0" fillId="0" borderId="0" xfId="0" applyAlignment="1">
      <alignment horizontal="center" vertical="top"/>
    </xf>
    <xf numFmtId="0" fontId="4" fillId="3" borderId="1" xfId="0" applyFont="1" applyFill="1" applyBorder="1" applyAlignment="1">
      <alignment horizontal="center"/>
    </xf>
    <xf numFmtId="1" fontId="0" fillId="9" borderId="9" xfId="0" applyNumberFormat="1" applyFill="1" applyBorder="1" applyAlignment="1">
      <alignment horizontal="center"/>
    </xf>
    <xf numFmtId="0" fontId="16" fillId="0" borderId="1" xfId="0" applyFont="1" applyBorder="1" applyAlignment="1">
      <alignment horizontal="center"/>
    </xf>
    <xf numFmtId="0" fontId="0" fillId="2" borderId="0" xfId="0" applyFill="1" applyAlignment="1">
      <alignment wrapText="1"/>
    </xf>
    <xf numFmtId="0" fontId="0" fillId="0" borderId="32" xfId="0" applyBorder="1" applyAlignment="1">
      <alignment horizontal="center"/>
    </xf>
    <xf numFmtId="0" fontId="0" fillId="0" borderId="11"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3" borderId="11" xfId="0" applyFill="1" applyBorder="1" applyAlignment="1">
      <alignment horizontal="center"/>
    </xf>
    <xf numFmtId="0" fontId="0" fillId="2" borderId="0" xfId="0" applyFill="1" applyAlignment="1">
      <alignment horizontal="center" vertical="center" wrapText="1"/>
    </xf>
    <xf numFmtId="0" fontId="2" fillId="2"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3" xfId="0" applyFill="1" applyBorder="1" applyAlignment="1">
      <alignment horizontal="center"/>
    </xf>
    <xf numFmtId="0" fontId="3" fillId="0" borderId="0" xfId="0" applyFont="1" applyAlignment="1">
      <alignment horizontal="center" vertical="center"/>
    </xf>
    <xf numFmtId="0" fontId="10" fillId="2" borderId="5" xfId="0" applyFont="1" applyFill="1" applyBorder="1"/>
    <xf numFmtId="0" fontId="10" fillId="2" borderId="5" xfId="0" applyFont="1" applyFill="1" applyBorder="1" applyAlignment="1">
      <alignment wrapText="1"/>
    </xf>
    <xf numFmtId="0" fontId="10" fillId="2" borderId="5" xfId="0" applyFont="1" applyFill="1" applyBorder="1" applyAlignment="1">
      <alignment horizontal="center" wrapText="1"/>
    </xf>
    <xf numFmtId="0" fontId="13" fillId="2" borderId="5" xfId="0" applyFont="1" applyFill="1" applyBorder="1"/>
    <xf numFmtId="0" fontId="11" fillId="0" borderId="4" xfId="0" applyFont="1" applyBorder="1" applyAlignment="1">
      <alignment horizontal="left" wrapText="1"/>
    </xf>
    <xf numFmtId="15" fontId="11" fillId="0" borderId="4" xfId="0" applyNumberFormat="1" applyFont="1" applyBorder="1" applyAlignment="1">
      <alignment horizontal="center"/>
    </xf>
    <xf numFmtId="15" fontId="11" fillId="0" borderId="4" xfId="0" applyNumberFormat="1" applyFont="1" applyBorder="1" applyAlignment="1">
      <alignment horizontal="center" vertical="center"/>
    </xf>
    <xf numFmtId="0" fontId="11" fillId="0" borderId="4" xfId="0" applyFont="1" applyBorder="1" applyAlignment="1">
      <alignment horizontal="center"/>
    </xf>
    <xf numFmtId="0" fontId="11" fillId="0" borderId="4" xfId="0" applyFont="1" applyBorder="1"/>
    <xf numFmtId="0" fontId="11" fillId="0" borderId="37" xfId="0" applyFont="1" applyBorder="1" applyAlignment="1">
      <alignment horizontal="center"/>
    </xf>
    <xf numFmtId="0" fontId="2" fillId="2" borderId="0" xfId="0" applyFont="1" applyFill="1" applyAlignment="1">
      <alignment wrapText="1"/>
    </xf>
    <xf numFmtId="0" fontId="6" fillId="0" borderId="0" xfId="1"/>
    <xf numFmtId="0" fontId="0" fillId="9" borderId="1" xfId="0" applyFill="1" applyBorder="1" applyAlignment="1">
      <alignment horizontal="center" vertical="center" wrapText="1"/>
    </xf>
    <xf numFmtId="0" fontId="12" fillId="9" borderId="1" xfId="0" applyFont="1" applyFill="1" applyBorder="1" applyAlignment="1">
      <alignment horizontal="center" wrapText="1"/>
    </xf>
    <xf numFmtId="0" fontId="12" fillId="9" borderId="19" xfId="0" applyFont="1" applyFill="1" applyBorder="1" applyAlignment="1">
      <alignment horizontal="center" wrapText="1"/>
    </xf>
    <xf numFmtId="0" fontId="12" fillId="9" borderId="5" xfId="0" applyFont="1" applyFill="1" applyBorder="1" applyAlignment="1">
      <alignment horizontal="center" wrapText="1"/>
    </xf>
    <xf numFmtId="0" fontId="12" fillId="9" borderId="24" xfId="0" applyFont="1" applyFill="1" applyBorder="1" applyAlignment="1">
      <alignment horizontal="center" wrapText="1"/>
    </xf>
    <xf numFmtId="0" fontId="12" fillId="9" borderId="21" xfId="0" applyFont="1" applyFill="1" applyBorder="1" applyAlignment="1">
      <alignment horizontal="center" wrapText="1"/>
    </xf>
    <xf numFmtId="0" fontId="12" fillId="9" borderId="22" xfId="0" applyFont="1" applyFill="1" applyBorder="1" applyAlignment="1">
      <alignment horizontal="center" wrapText="1"/>
    </xf>
    <xf numFmtId="0" fontId="0" fillId="9" borderId="1" xfId="0" applyFill="1" applyBorder="1" applyAlignment="1">
      <alignment horizontal="center"/>
    </xf>
    <xf numFmtId="0" fontId="0" fillId="9" borderId="11" xfId="0" applyFill="1" applyBorder="1" applyAlignment="1">
      <alignment horizontal="center"/>
    </xf>
    <xf numFmtId="0" fontId="0" fillId="9" borderId="1" xfId="0" applyFill="1" applyBorder="1"/>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vertical="center"/>
    </xf>
    <xf numFmtId="14" fontId="0" fillId="0" borderId="1" xfId="0" applyNumberFormat="1" applyBorder="1" applyAlignment="1">
      <alignment horizontal="center" vertical="center"/>
    </xf>
    <xf numFmtId="0" fontId="0" fillId="9" borderId="21" xfId="0" applyFill="1" applyBorder="1" applyAlignment="1">
      <alignment horizontal="center"/>
    </xf>
    <xf numFmtId="0" fontId="0" fillId="9" borderId="1" xfId="0" applyFill="1" applyBorder="1" applyAlignment="1">
      <alignment horizontal="center" vertical="top"/>
    </xf>
    <xf numFmtId="0" fontId="0" fillId="9" borderId="21" xfId="0" applyFill="1" applyBorder="1" applyAlignment="1">
      <alignment horizontal="center" vertical="top"/>
    </xf>
    <xf numFmtId="0" fontId="5" fillId="0" borderId="1" xfId="0" applyFont="1" applyBorder="1" applyAlignment="1">
      <alignment wrapText="1"/>
    </xf>
    <xf numFmtId="14" fontId="5" fillId="0" borderId="1" xfId="0" applyNumberFormat="1" applyFont="1" applyBorder="1" applyAlignment="1">
      <alignment horizontal="center"/>
    </xf>
    <xf numFmtId="0" fontId="5" fillId="0" borderId="1" xfId="0" applyFont="1" applyBorder="1"/>
    <xf numFmtId="0" fontId="5" fillId="0" borderId="1" xfId="0" applyFont="1" applyBorder="1" applyAlignment="1">
      <alignment horizontal="left" vertical="top"/>
    </xf>
    <xf numFmtId="0" fontId="0" fillId="10" borderId="1" xfId="0" applyFill="1" applyBorder="1" applyAlignment="1">
      <alignment horizontal="center" vertical="center"/>
    </xf>
    <xf numFmtId="0" fontId="0" fillId="0" borderId="1" xfId="0" applyBorder="1" applyAlignment="1">
      <alignment vertical="top"/>
    </xf>
    <xf numFmtId="4"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4" fillId="0" borderId="5" xfId="0" applyFont="1" applyBorder="1" applyAlignment="1">
      <alignment horizontal="center" vertical="center"/>
    </xf>
    <xf numFmtId="0" fontId="4" fillId="0" borderId="5" xfId="0" applyFont="1" applyBorder="1" applyAlignment="1">
      <alignment vertical="center"/>
    </xf>
    <xf numFmtId="0" fontId="0" fillId="0" borderId="5" xfId="0" applyBorder="1"/>
    <xf numFmtId="0" fontId="0" fillId="9" borderId="5" xfId="0" applyFill="1" applyBorder="1"/>
    <xf numFmtId="14" fontId="4" fillId="0" borderId="5" xfId="0" applyNumberFormat="1" applyFont="1" applyBorder="1" applyAlignment="1">
      <alignment horizontal="center" vertical="center"/>
    </xf>
    <xf numFmtId="1" fontId="2" fillId="7" borderId="9" xfId="0" applyNumberFormat="1" applyFont="1" applyFill="1" applyBorder="1" applyAlignment="1">
      <alignment horizontal="center"/>
    </xf>
    <xf numFmtId="0" fontId="2" fillId="9" borderId="9" xfId="0" applyFont="1" applyFill="1" applyBorder="1" applyAlignment="1">
      <alignment horizontal="center"/>
    </xf>
    <xf numFmtId="0" fontId="6" fillId="0" borderId="31" xfId="1" applyBorder="1" applyAlignment="1">
      <alignment horizontal="center" vertical="center" wrapText="1"/>
    </xf>
    <xf numFmtId="0" fontId="0" fillId="3"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32" xfId="0" applyBorder="1" applyAlignment="1">
      <alignment horizontal="center" wrapText="1"/>
    </xf>
    <xf numFmtId="0" fontId="0" fillId="0" borderId="4" xfId="0" applyBorder="1" applyAlignment="1">
      <alignment horizontal="center" vertical="center"/>
    </xf>
    <xf numFmtId="0" fontId="0" fillId="0" borderId="0" xfId="0" applyAlignment="1">
      <alignment horizontal="center" vertical="center" wrapText="1"/>
    </xf>
    <xf numFmtId="0" fontId="0" fillId="3" borderId="0" xfId="0" applyFill="1" applyAlignment="1">
      <alignment horizontal="center" vertical="center" wrapText="1"/>
    </xf>
    <xf numFmtId="0" fontId="18" fillId="6" borderId="11" xfId="0" applyFont="1" applyFill="1" applyBorder="1" applyAlignment="1">
      <alignment horizontal="center" vertical="center"/>
    </xf>
    <xf numFmtId="0" fontId="18" fillId="12" borderId="11" xfId="0" applyFont="1" applyFill="1" applyBorder="1" applyAlignment="1">
      <alignment horizontal="center" vertical="center"/>
    </xf>
    <xf numFmtId="0" fontId="8" fillId="11" borderId="11" xfId="0" applyFont="1" applyFill="1" applyBorder="1" applyAlignment="1">
      <alignment horizontal="center" vertical="center"/>
    </xf>
    <xf numFmtId="0" fontId="8" fillId="11" borderId="14" xfId="0" applyFont="1" applyFill="1" applyBorder="1" applyAlignment="1">
      <alignment horizontal="center" vertical="center"/>
    </xf>
    <xf numFmtId="0" fontId="8" fillId="11" borderId="7" xfId="0" applyFont="1" applyFill="1" applyBorder="1" applyAlignment="1">
      <alignment horizontal="center" vertical="center"/>
    </xf>
    <xf numFmtId="0" fontId="18" fillId="6" borderId="14" xfId="0" applyFont="1" applyFill="1" applyBorder="1" applyAlignment="1">
      <alignment horizontal="center" vertical="center"/>
    </xf>
    <xf numFmtId="0" fontId="18" fillId="6" borderId="7" xfId="0" applyFont="1" applyFill="1" applyBorder="1" applyAlignment="1">
      <alignment horizontal="center" vertical="center"/>
    </xf>
    <xf numFmtId="0" fontId="18" fillId="12" borderId="7" xfId="0" applyFont="1" applyFill="1" applyBorder="1" applyAlignment="1">
      <alignment horizontal="center" vertical="center"/>
    </xf>
    <xf numFmtId="0" fontId="4" fillId="0" borderId="21" xfId="0" applyFont="1" applyBorder="1" applyAlignment="1">
      <alignment horizontal="center"/>
    </xf>
    <xf numFmtId="0" fontId="0" fillId="3" borderId="1" xfId="0" applyFill="1" applyBorder="1" applyAlignment="1">
      <alignment horizontal="center"/>
    </xf>
    <xf numFmtId="0" fontId="0" fillId="3" borderId="5" xfId="0" applyFill="1" applyBorder="1" applyAlignment="1">
      <alignment horizontal="center"/>
    </xf>
    <xf numFmtId="0" fontId="13" fillId="2" borderId="13" xfId="0" applyFont="1" applyFill="1" applyBorder="1" applyAlignment="1">
      <alignment horizontal="center"/>
    </xf>
    <xf numFmtId="0" fontId="13" fillId="2" borderId="2" xfId="0" applyFont="1" applyFill="1" applyBorder="1" applyAlignment="1">
      <alignment horizontal="center"/>
    </xf>
    <xf numFmtId="0" fontId="13" fillId="2" borderId="30" xfId="0" applyFont="1" applyFill="1" applyBorder="1" applyAlignment="1">
      <alignment horizontal="center"/>
    </xf>
    <xf numFmtId="0" fontId="0" fillId="3" borderId="5" xfId="0" applyFill="1" applyBorder="1"/>
    <xf numFmtId="0" fontId="8" fillId="8" borderId="9" xfId="0" applyFont="1" applyFill="1" applyBorder="1" applyAlignment="1">
      <alignment horizontal="center" vertical="center"/>
    </xf>
    <xf numFmtId="0" fontId="0" fillId="7" borderId="9" xfId="0" applyFill="1" applyBorder="1" applyAlignment="1">
      <alignment horizontal="left" vertical="center"/>
    </xf>
    <xf numFmtId="9" fontId="0" fillId="7" borderId="9" xfId="0" applyNumberFormat="1" applyFill="1" applyBorder="1" applyAlignment="1">
      <alignment horizontal="center" vertical="center"/>
    </xf>
    <xf numFmtId="0" fontId="0" fillId="9" borderId="9" xfId="0" applyFill="1" applyBorder="1" applyAlignment="1">
      <alignment horizontal="center" vertical="center"/>
    </xf>
    <xf numFmtId="0" fontId="0" fillId="0" borderId="9" xfId="0" applyBorder="1" applyAlignment="1">
      <alignment horizontal="left" vertical="center"/>
    </xf>
    <xf numFmtId="9" fontId="0" fillId="0" borderId="9" xfId="0" applyNumberFormat="1" applyBorder="1" applyAlignment="1">
      <alignment horizontal="center" vertical="center"/>
    </xf>
    <xf numFmtId="0" fontId="0" fillId="3" borderId="9" xfId="0" applyFill="1" applyBorder="1" applyAlignment="1">
      <alignment horizontal="left" vertical="center"/>
    </xf>
    <xf numFmtId="9" fontId="0" fillId="3" borderId="9" xfId="0" applyNumberFormat="1" applyFill="1" applyBorder="1" applyAlignment="1">
      <alignment horizontal="center" vertical="center"/>
    </xf>
    <xf numFmtId="1" fontId="0" fillId="9" borderId="9" xfId="0" applyNumberFormat="1" applyFill="1" applyBorder="1" applyAlignment="1">
      <alignment horizontal="center" vertical="center"/>
    </xf>
    <xf numFmtId="0" fontId="2" fillId="7" borderId="9" xfId="0" applyFont="1" applyFill="1" applyBorder="1" applyAlignment="1">
      <alignment horizontal="left" vertical="center"/>
    </xf>
    <xf numFmtId="9" fontId="2" fillId="7" borderId="9" xfId="0" applyNumberFormat="1" applyFont="1" applyFill="1" applyBorder="1" applyAlignment="1">
      <alignment horizontal="center" vertical="center"/>
    </xf>
    <xf numFmtId="1" fontId="2" fillId="9" borderId="9" xfId="0" applyNumberFormat="1" applyFont="1" applyFill="1" applyBorder="1" applyAlignment="1">
      <alignment horizontal="center" vertical="center"/>
    </xf>
    <xf numFmtId="0" fontId="2" fillId="9" borderId="9" xfId="0" applyFont="1" applyFill="1" applyBorder="1" applyAlignment="1">
      <alignment horizontal="center" vertical="center"/>
    </xf>
    <xf numFmtId="0" fontId="8" fillId="8" borderId="0" xfId="0" applyFont="1" applyFill="1" applyAlignment="1">
      <alignment horizontal="center" vertical="center" wrapText="1"/>
    </xf>
    <xf numFmtId="0" fontId="0" fillId="7" borderId="0" xfId="0" applyFill="1" applyAlignment="1">
      <alignment horizontal="center"/>
    </xf>
    <xf numFmtId="0" fontId="0" fillId="3" borderId="0" xfId="0" applyFill="1" applyAlignment="1">
      <alignment horizontal="center"/>
    </xf>
    <xf numFmtId="0" fontId="2" fillId="7" borderId="0" xfId="0" applyFont="1" applyFill="1" applyAlignment="1">
      <alignment horizontal="center" vertical="center"/>
    </xf>
    <xf numFmtId="0" fontId="8" fillId="6" borderId="0" xfId="0" applyFont="1" applyFill="1" applyAlignment="1">
      <alignment horizontal="center" wrapText="1"/>
    </xf>
    <xf numFmtId="0" fontId="0" fillId="3" borderId="0" xfId="0" applyFill="1" applyAlignment="1">
      <alignment horizontal="center" vertical="center"/>
    </xf>
    <xf numFmtId="0" fontId="0" fillId="0" borderId="19" xfId="0" applyBorder="1" applyAlignment="1">
      <alignment wrapText="1"/>
    </xf>
    <xf numFmtId="0" fontId="19" fillId="2" borderId="5" xfId="0" applyFont="1" applyFill="1" applyBorder="1" applyAlignment="1">
      <alignment horizontal="center" vertical="center"/>
    </xf>
    <xf numFmtId="0" fontId="19" fillId="2" borderId="5" xfId="0" applyFont="1" applyFill="1" applyBorder="1" applyAlignment="1">
      <alignment horizontal="center" vertical="center" wrapText="1"/>
    </xf>
    <xf numFmtId="0" fontId="19" fillId="2" borderId="13" xfId="0" applyFont="1" applyFill="1" applyBorder="1" applyAlignment="1">
      <alignment horizontal="center" vertical="center"/>
    </xf>
    <xf numFmtId="0" fontId="19" fillId="2" borderId="44" xfId="0" applyFont="1" applyFill="1" applyBorder="1" applyAlignment="1">
      <alignment horizontal="center" vertical="center" wrapText="1"/>
    </xf>
    <xf numFmtId="0" fontId="19" fillId="2" borderId="45" xfId="0" applyFont="1" applyFill="1" applyBorder="1" applyAlignment="1">
      <alignment horizontal="center" vertical="center"/>
    </xf>
    <xf numFmtId="0" fontId="19" fillId="2" borderId="46" xfId="0" applyFont="1" applyFill="1" applyBorder="1" applyAlignment="1">
      <alignment horizontal="center" vertical="center"/>
    </xf>
    <xf numFmtId="0" fontId="19" fillId="2" borderId="47" xfId="0" applyFont="1" applyFill="1" applyBorder="1" applyAlignment="1">
      <alignment horizontal="center" vertical="center"/>
    </xf>
    <xf numFmtId="0" fontId="19" fillId="2" borderId="30" xfId="0" applyFont="1" applyFill="1" applyBorder="1" applyAlignment="1">
      <alignment horizontal="center" vertical="center" wrapText="1"/>
    </xf>
    <xf numFmtId="0" fontId="19" fillId="2" borderId="2" xfId="0" applyFont="1" applyFill="1" applyBorder="1" applyAlignment="1">
      <alignment horizontal="center" vertical="center"/>
    </xf>
    <xf numFmtId="0" fontId="19" fillId="2" borderId="30" xfId="0" applyFont="1" applyFill="1" applyBorder="1" applyAlignment="1">
      <alignment horizontal="center" vertical="center"/>
    </xf>
    <xf numFmtId="0" fontId="19" fillId="2" borderId="1" xfId="0" applyFont="1" applyFill="1" applyBorder="1" applyAlignment="1">
      <alignment horizontal="center" vertical="center" wrapText="1"/>
    </xf>
    <xf numFmtId="0" fontId="20" fillId="0" borderId="3" xfId="0" applyFont="1" applyBorder="1" applyAlignment="1">
      <alignment horizontal="left" vertical="center" wrapText="1"/>
    </xf>
    <xf numFmtId="0" fontId="20" fillId="0" borderId="3" xfId="0" applyFont="1" applyBorder="1"/>
    <xf numFmtId="0" fontId="20" fillId="0" borderId="50" xfId="0" applyFont="1" applyBorder="1" applyAlignment="1">
      <alignment horizontal="center"/>
    </xf>
    <xf numFmtId="0" fontId="20" fillId="0" borderId="50" xfId="0" applyFont="1" applyBorder="1" applyAlignment="1">
      <alignment horizontal="left"/>
    </xf>
    <xf numFmtId="0" fontId="20" fillId="0" borderId="50" xfId="0" applyFont="1" applyBorder="1"/>
    <xf numFmtId="0" fontId="19" fillId="0" borderId="39" xfId="0" applyFont="1" applyBorder="1" applyAlignment="1">
      <alignment horizontal="center" vertical="center" wrapText="1"/>
    </xf>
    <xf numFmtId="0" fontId="20" fillId="0" borderId="0" xfId="0" applyFont="1"/>
    <xf numFmtId="0" fontId="19" fillId="0" borderId="3" xfId="0" applyFont="1" applyBorder="1" applyAlignment="1">
      <alignment horizontal="center" vertical="center" wrapText="1"/>
    </xf>
    <xf numFmtId="0" fontId="20" fillId="0" borderId="3" xfId="0" applyFont="1" applyBorder="1" applyAlignment="1">
      <alignment horizontal="center"/>
    </xf>
    <xf numFmtId="0" fontId="20" fillId="0" borderId="3" xfId="0" applyFont="1" applyBorder="1" applyAlignment="1">
      <alignment horizontal="left"/>
    </xf>
    <xf numFmtId="0" fontId="19" fillId="0" borderId="3" xfId="0" applyFont="1" applyBorder="1" applyAlignment="1">
      <alignment horizontal="center"/>
    </xf>
    <xf numFmtId="0" fontId="19" fillId="0" borderId="12" xfId="0" applyFont="1" applyBorder="1" applyAlignment="1">
      <alignment horizontal="center" vertical="center" wrapText="1"/>
    </xf>
    <xf numFmtId="0" fontId="19" fillId="0" borderId="0" xfId="0" applyFont="1"/>
    <xf numFmtId="0" fontId="19" fillId="0" borderId="0" xfId="0" applyFont="1" applyAlignment="1">
      <alignment horizontal="center" vertical="center" wrapText="1"/>
    </xf>
    <xf numFmtId="0" fontId="20" fillId="0" borderId="64" xfId="0" applyFont="1" applyBorder="1" applyAlignment="1">
      <alignment horizontal="center"/>
    </xf>
    <xf numFmtId="0" fontId="20" fillId="0" borderId="64" xfId="0" applyFont="1" applyBorder="1" applyAlignment="1">
      <alignment horizontal="left"/>
    </xf>
    <xf numFmtId="0" fontId="20" fillId="0" borderId="64" xfId="0" applyFont="1" applyBorder="1"/>
    <xf numFmtId="0" fontId="20" fillId="0" borderId="61" xfId="0" applyFont="1" applyBorder="1"/>
    <xf numFmtId="0" fontId="19" fillId="0" borderId="3" xfId="0" applyFont="1" applyBorder="1" applyAlignment="1">
      <alignment horizontal="center" vertical="center"/>
    </xf>
    <xf numFmtId="0" fontId="20" fillId="0" borderId="3" xfId="0" applyFont="1" applyBorder="1" applyAlignment="1">
      <alignment horizontal="left" vertical="center"/>
    </xf>
    <xf numFmtId="0" fontId="20" fillId="0" borderId="61" xfId="0" applyFont="1" applyBorder="1" applyAlignment="1">
      <alignment horizontal="left" vertical="center" wrapText="1"/>
    </xf>
    <xf numFmtId="0" fontId="19" fillId="0" borderId="38" xfId="0" applyFont="1" applyBorder="1" applyAlignment="1">
      <alignment horizontal="center" vertical="center"/>
    </xf>
    <xf numFmtId="0" fontId="19" fillId="0" borderId="38" xfId="0" applyFont="1" applyBorder="1" applyAlignment="1">
      <alignment horizontal="center"/>
    </xf>
    <xf numFmtId="0" fontId="20" fillId="0" borderId="3" xfId="0" applyFont="1" applyBorder="1" applyAlignment="1">
      <alignment vertical="center"/>
    </xf>
    <xf numFmtId="0" fontId="20" fillId="0" borderId="38" xfId="0" applyFont="1" applyBorder="1"/>
    <xf numFmtId="0" fontId="21" fillId="0" borderId="3" xfId="0" applyFont="1" applyBorder="1" applyAlignment="1">
      <alignment horizontal="left" vertical="center" wrapText="1"/>
    </xf>
    <xf numFmtId="0" fontId="21" fillId="0" borderId="3" xfId="0" quotePrefix="1" applyFont="1" applyBorder="1" applyAlignment="1">
      <alignment horizontal="left" vertical="center" wrapText="1"/>
    </xf>
    <xf numFmtId="0" fontId="20" fillId="0" borderId="38" xfId="0" applyFont="1" applyBorder="1" applyAlignment="1">
      <alignment horizontal="left" vertical="center" wrapText="1"/>
    </xf>
    <xf numFmtId="0" fontId="21" fillId="0" borderId="38" xfId="0" applyFont="1" applyBorder="1" applyAlignment="1">
      <alignment horizontal="left" vertical="center" wrapText="1"/>
    </xf>
    <xf numFmtId="0" fontId="19" fillId="0" borderId="6" xfId="0" applyFont="1" applyBorder="1" applyAlignment="1">
      <alignment horizontal="center" vertical="center" wrapText="1"/>
    </xf>
    <xf numFmtId="0" fontId="20" fillId="0" borderId="50" xfId="0" applyFont="1" applyBorder="1" applyAlignment="1">
      <alignment vertical="center"/>
    </xf>
    <xf numFmtId="0" fontId="20" fillId="0" borderId="0" xfId="0" applyFont="1" applyAlignment="1">
      <alignment wrapText="1"/>
    </xf>
    <xf numFmtId="0" fontId="22" fillId="0" borderId="3" xfId="0" applyFont="1" applyBorder="1" applyAlignment="1">
      <alignment horizontal="left"/>
    </xf>
    <xf numFmtId="0" fontId="22" fillId="0" borderId="0" xfId="0" applyFont="1" applyAlignment="1">
      <alignment horizontal="left"/>
    </xf>
    <xf numFmtId="0" fontId="19" fillId="0" borderId="0" xfId="0" applyFont="1" applyAlignment="1">
      <alignment horizontal="center" wrapText="1"/>
    </xf>
    <xf numFmtId="0" fontId="19" fillId="0" borderId="6" xfId="0" applyFont="1" applyBorder="1" applyAlignment="1">
      <alignment horizontal="center" wrapText="1"/>
    </xf>
    <xf numFmtId="0" fontId="20" fillId="0" borderId="1" xfId="0" applyFont="1" applyBorder="1" applyAlignment="1">
      <alignment horizontal="center" vertical="center"/>
    </xf>
    <xf numFmtId="0" fontId="19" fillId="0" borderId="83" xfId="0" applyFont="1" applyBorder="1" applyAlignment="1">
      <alignment horizontal="center" vertical="center"/>
    </xf>
    <xf numFmtId="0" fontId="20" fillId="0" borderId="83" xfId="0" applyFont="1" applyBorder="1" applyAlignment="1">
      <alignment horizontal="left" vertical="center"/>
    </xf>
    <xf numFmtId="0" fontId="19" fillId="0" borderId="83" xfId="0" applyFont="1" applyBorder="1" applyAlignment="1">
      <alignment horizontal="center"/>
    </xf>
    <xf numFmtId="0" fontId="20" fillId="0" borderId="89" xfId="0" applyFont="1" applyBorder="1" applyAlignment="1">
      <alignment horizontal="left" vertical="center"/>
    </xf>
    <xf numFmtId="0" fontId="19" fillId="0" borderId="89" xfId="0" applyFont="1" applyBorder="1" applyAlignment="1">
      <alignment horizontal="center"/>
    </xf>
    <xf numFmtId="0" fontId="20" fillId="0" borderId="38" xfId="0" applyFont="1" applyBorder="1" applyAlignment="1">
      <alignment horizontal="left" vertical="center"/>
    </xf>
    <xf numFmtId="0" fontId="20" fillId="0" borderId="61" xfId="0" applyFont="1" applyBorder="1" applyAlignment="1">
      <alignment horizontal="left" vertical="center"/>
    </xf>
    <xf numFmtId="0" fontId="20" fillId="0" borderId="83" xfId="0" applyFont="1" applyBorder="1"/>
    <xf numFmtId="2" fontId="20" fillId="0" borderId="50" xfId="0" applyNumberFormat="1" applyFont="1" applyBorder="1"/>
    <xf numFmtId="2" fontId="20" fillId="0" borderId="3" xfId="0" applyNumberFormat="1" applyFont="1" applyBorder="1"/>
    <xf numFmtId="2" fontId="20" fillId="0" borderId="64" xfId="0" applyNumberFormat="1" applyFont="1" applyBorder="1"/>
    <xf numFmtId="2" fontId="20" fillId="0" borderId="61" xfId="0" applyNumberFormat="1" applyFont="1" applyBorder="1"/>
    <xf numFmtId="2" fontId="20" fillId="0" borderId="38" xfId="0" applyNumberFormat="1" applyFont="1" applyBorder="1"/>
    <xf numFmtId="2" fontId="20" fillId="0" borderId="50" xfId="0" applyNumberFormat="1" applyFont="1" applyBorder="1" applyAlignment="1">
      <alignment vertical="center"/>
    </xf>
    <xf numFmtId="2" fontId="20" fillId="0" borderId="3" xfId="0" applyNumberFormat="1" applyFont="1" applyBorder="1" applyAlignment="1">
      <alignment vertical="center"/>
    </xf>
    <xf numFmtId="0" fontId="2" fillId="13" borderId="1" xfId="0" applyFont="1" applyFill="1" applyBorder="1"/>
    <xf numFmtId="0" fontId="2" fillId="13" borderId="1" xfId="0" applyFont="1" applyFill="1" applyBorder="1" applyAlignment="1">
      <alignment wrapText="1"/>
    </xf>
    <xf numFmtId="0" fontId="13" fillId="13" borderId="1" xfId="0" applyFont="1" applyFill="1" applyBorder="1" applyAlignment="1">
      <alignment horizontal="center"/>
    </xf>
    <xf numFmtId="0" fontId="0" fillId="13" borderId="1" xfId="0" applyFill="1" applyBorder="1"/>
    <xf numFmtId="0" fontId="21" fillId="0" borderId="38" xfId="0" quotePrefix="1" applyFont="1" applyBorder="1" applyAlignment="1">
      <alignment horizontal="left" vertical="center" wrapText="1"/>
    </xf>
    <xf numFmtId="0" fontId="20" fillId="0" borderId="38" xfId="0" applyFont="1" applyBorder="1" applyAlignment="1">
      <alignment vertical="center"/>
    </xf>
    <xf numFmtId="0" fontId="20" fillId="0" borderId="1" xfId="0" applyFont="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19" fillId="0" borderId="1" xfId="0" applyFont="1" applyBorder="1" applyAlignment="1">
      <alignment wrapText="1"/>
    </xf>
    <xf numFmtId="0" fontId="19" fillId="0" borderId="1" xfId="0" applyFont="1" applyBorder="1" applyAlignment="1">
      <alignment vertical="center" wrapText="1"/>
    </xf>
    <xf numFmtId="0" fontId="19" fillId="0" borderId="1" xfId="0" applyFont="1" applyBorder="1" applyAlignment="1">
      <alignment vertical="center"/>
    </xf>
    <xf numFmtId="0" fontId="19" fillId="0" borderId="74" xfId="0" applyFont="1" applyBorder="1" applyAlignment="1">
      <alignment horizontal="center" vertical="center" wrapText="1"/>
    </xf>
    <xf numFmtId="0" fontId="13" fillId="13" borderId="4" xfId="0" applyFont="1" applyFill="1" applyBorder="1" applyAlignment="1">
      <alignment horizontal="center"/>
    </xf>
    <xf numFmtId="0" fontId="2" fillId="13" borderId="4" xfId="0" applyFont="1" applyFill="1" applyBorder="1"/>
    <xf numFmtId="0" fontId="2" fillId="13" borderId="4" xfId="0" applyFont="1" applyFill="1" applyBorder="1" applyAlignment="1">
      <alignment horizontal="center" vertical="center"/>
    </xf>
    <xf numFmtId="0" fontId="2" fillId="13" borderId="4" xfId="0" applyFont="1" applyFill="1" applyBorder="1" applyAlignment="1">
      <alignment horizontal="center" vertical="center" wrapText="1"/>
    </xf>
    <xf numFmtId="0" fontId="0" fillId="13" borderId="4" xfId="0" applyFill="1" applyBorder="1"/>
    <xf numFmtId="0" fontId="20" fillId="0" borderId="5" xfId="0" applyFont="1" applyBorder="1" applyAlignment="1">
      <alignment horizontal="center"/>
    </xf>
    <xf numFmtId="16" fontId="20" fillId="0" borderId="10" xfId="0" applyNumberFormat="1" applyFont="1" applyBorder="1" applyAlignment="1">
      <alignment horizontal="center"/>
    </xf>
    <xf numFmtId="0" fontId="20" fillId="0" borderId="10" xfId="0" applyFont="1" applyBorder="1" applyAlignment="1">
      <alignment horizontal="center"/>
    </xf>
    <xf numFmtId="0" fontId="20" fillId="0" borderId="4" xfId="0" applyFont="1" applyBorder="1"/>
    <xf numFmtId="0" fontId="20" fillId="3" borderId="4" xfId="0" applyFont="1" applyFill="1" applyBorder="1"/>
    <xf numFmtId="0" fontId="20" fillId="0" borderId="39" xfId="0" applyFont="1" applyBorder="1" applyAlignment="1">
      <alignment horizontal="center"/>
    </xf>
    <xf numFmtId="0" fontId="20" fillId="0" borderId="39" xfId="0" applyFont="1" applyBorder="1" applyAlignment="1">
      <alignment horizontal="center" wrapText="1"/>
    </xf>
    <xf numFmtId="16" fontId="20" fillId="0" borderId="5" xfId="0" applyNumberFormat="1" applyFont="1" applyBorder="1" applyAlignment="1">
      <alignment horizontal="center"/>
    </xf>
    <xf numFmtId="0" fontId="20" fillId="0" borderId="1" xfId="0" applyFont="1" applyBorder="1"/>
    <xf numFmtId="0" fontId="20" fillId="3" borderId="1" xfId="0" applyFont="1" applyFill="1" applyBorder="1"/>
    <xf numFmtId="0" fontId="20" fillId="0" borderId="0" xfId="0" applyFont="1" applyAlignment="1">
      <alignment vertical="center" wrapText="1"/>
    </xf>
    <xf numFmtId="0" fontId="20" fillId="3" borderId="1" xfId="0" applyFont="1" applyFill="1" applyBorder="1" applyAlignment="1">
      <alignment horizontal="center" vertical="center" wrapText="1"/>
    </xf>
    <xf numFmtId="0" fontId="20" fillId="0" borderId="5" xfId="0" applyFont="1" applyBorder="1"/>
    <xf numFmtId="0" fontId="20" fillId="3" borderId="5" xfId="0" applyFont="1" applyFill="1" applyBorder="1"/>
    <xf numFmtId="0" fontId="20" fillId="4" borderId="0" xfId="0" applyFont="1" applyFill="1"/>
    <xf numFmtId="0" fontId="20" fillId="5" borderId="0" xfId="0" applyFont="1" applyFill="1"/>
    <xf numFmtId="0" fontId="5" fillId="0" borderId="7" xfId="0" applyFont="1" applyBorder="1"/>
    <xf numFmtId="0" fontId="5" fillId="0" borderId="7" xfId="0" applyFont="1" applyBorder="1" applyAlignment="1">
      <alignment wrapText="1"/>
    </xf>
    <xf numFmtId="0" fontId="2" fillId="2" borderId="38" xfId="0" applyFont="1" applyFill="1" applyBorder="1" applyAlignment="1">
      <alignment horizontal="center" vertical="center"/>
    </xf>
    <xf numFmtId="0" fontId="2" fillId="2" borderId="5" xfId="0" applyFont="1" applyFill="1" applyBorder="1" applyAlignment="1">
      <alignment horizontal="center" vertical="center"/>
    </xf>
    <xf numFmtId="0" fontId="5" fillId="0" borderId="11" xfId="0" applyFont="1" applyBorder="1" applyAlignment="1">
      <alignment horizontal="center"/>
    </xf>
    <xf numFmtId="0" fontId="0" fillId="0" borderId="14" xfId="0" applyBorder="1" applyAlignment="1">
      <alignment horizontal="center" vertical="center"/>
    </xf>
    <xf numFmtId="0" fontId="0" fillId="0" borderId="104" xfId="0" applyBorder="1" applyAlignment="1">
      <alignment horizontal="center"/>
    </xf>
    <xf numFmtId="0" fontId="0" fillId="3" borderId="14" xfId="0" applyFill="1" applyBorder="1" applyAlignment="1">
      <alignment horizontal="center" vertical="center" wrapText="1"/>
    </xf>
    <xf numFmtId="0" fontId="6" fillId="3" borderId="14" xfId="1" applyFill="1" applyBorder="1" applyAlignment="1">
      <alignment horizontal="center" vertical="center" wrapText="1"/>
    </xf>
    <xf numFmtId="15" fontId="0" fillId="0" borderId="1" xfId="0" applyNumberFormat="1" applyBorder="1"/>
    <xf numFmtId="0" fontId="0" fillId="0" borderId="1" xfId="0" applyBorder="1" applyAlignment="1">
      <alignment horizontal="center" wrapText="1"/>
    </xf>
    <xf numFmtId="0" fontId="2" fillId="0" borderId="1" xfId="0" applyFont="1" applyBorder="1" applyAlignment="1">
      <alignment horizontal="center"/>
    </xf>
    <xf numFmtId="0" fontId="0" fillId="0" borderId="7" xfId="0" applyBorder="1" applyAlignment="1">
      <alignment horizontal="center" vertical="center" wrapText="1"/>
    </xf>
    <xf numFmtId="0" fontId="0" fillId="0" borderId="7" xfId="0" applyBorder="1" applyAlignment="1">
      <alignment horizontal="center" vertical="center"/>
    </xf>
    <xf numFmtId="0" fontId="0" fillId="0" borderId="5" xfId="0" applyBorder="1" applyAlignment="1">
      <alignment wrapText="1"/>
    </xf>
    <xf numFmtId="15" fontId="0" fillId="0" borderId="5" xfId="0" applyNumberFormat="1" applyBorder="1"/>
    <xf numFmtId="0" fontId="0" fillId="3" borderId="4" xfId="0" applyFill="1" applyBorder="1"/>
    <xf numFmtId="0" fontId="0" fillId="10" borderId="1" xfId="0" applyFill="1" applyBorder="1"/>
    <xf numFmtId="0" fontId="0" fillId="0" borderId="5" xfId="0" applyBorder="1" applyAlignment="1">
      <alignment vertical="center" wrapText="1"/>
    </xf>
    <xf numFmtId="15" fontId="14" fillId="0" borderId="5" xfId="0" applyNumberFormat="1" applyFont="1" applyBorder="1" applyAlignment="1">
      <alignment horizontal="center"/>
    </xf>
    <xf numFmtId="15" fontId="0" fillId="0" borderId="5" xfId="0" applyNumberFormat="1" applyBorder="1" applyAlignment="1">
      <alignment horizontal="center" vertical="center"/>
    </xf>
    <xf numFmtId="0" fontId="0" fillId="9" borderId="5" xfId="0" applyFill="1" applyBorder="1" applyAlignment="1">
      <alignment horizontal="center"/>
    </xf>
    <xf numFmtId="0" fontId="0" fillId="0" borderId="10" xfId="0" applyBorder="1" applyAlignment="1">
      <alignment horizontal="center"/>
    </xf>
    <xf numFmtId="0" fontId="13" fillId="2" borderId="29" xfId="0" applyFont="1" applyFill="1" applyBorder="1" applyAlignment="1">
      <alignment wrapText="1"/>
    </xf>
    <xf numFmtId="0" fontId="0" fillId="0" borderId="39" xfId="0" applyBorder="1" applyAlignment="1">
      <alignment horizontal="center"/>
    </xf>
    <xf numFmtId="0" fontId="0" fillId="10" borderId="11" xfId="0" applyFill="1" applyBorder="1" applyAlignment="1">
      <alignment horizontal="center"/>
    </xf>
    <xf numFmtId="0" fontId="0" fillId="10" borderId="13" xfId="0" applyFill="1" applyBorder="1" applyAlignment="1">
      <alignment horizontal="center"/>
    </xf>
    <xf numFmtId="0" fontId="0" fillId="0" borderId="39" xfId="0" applyBorder="1"/>
    <xf numFmtId="0" fontId="0" fillId="9" borderId="13" xfId="0" applyFill="1" applyBorder="1" applyAlignment="1">
      <alignment horizontal="center"/>
    </xf>
    <xf numFmtId="15" fontId="0" fillId="3" borderId="11" xfId="0" applyNumberFormat="1" applyFill="1" applyBorder="1"/>
    <xf numFmtId="0" fontId="6" fillId="0" borderId="1" xfId="1" applyBorder="1" applyAlignment="1"/>
    <xf numFmtId="0" fontId="0" fillId="0" borderId="5" xfId="0" applyBorder="1" applyAlignment="1">
      <alignment horizontal="center" wrapText="1"/>
    </xf>
    <xf numFmtId="15" fontId="0" fillId="0" borderId="1" xfId="0" applyNumberFormat="1" applyBorder="1" applyAlignment="1">
      <alignment horizontal="center" wrapText="1"/>
    </xf>
    <xf numFmtId="0" fontId="0" fillId="9" borderId="1" xfId="0" applyFill="1" applyBorder="1" applyAlignment="1">
      <alignment wrapText="1"/>
    </xf>
    <xf numFmtId="15" fontId="0" fillId="3" borderId="13" xfId="0" applyNumberFormat="1" applyFill="1" applyBorder="1" applyAlignment="1">
      <alignment wrapText="1"/>
    </xf>
    <xf numFmtId="0" fontId="0" fillId="9" borderId="5" xfId="0" applyFill="1" applyBorder="1" applyAlignment="1">
      <alignment wrapText="1"/>
    </xf>
    <xf numFmtId="0" fontId="6" fillId="0" borderId="0" xfId="1" applyAlignment="1">
      <alignment wrapText="1"/>
    </xf>
    <xf numFmtId="0" fontId="2" fillId="0" borderId="1" xfId="0" applyFont="1" applyBorder="1"/>
    <xf numFmtId="0" fontId="0" fillId="0" borderId="1" xfId="0" quotePrefix="1" applyBorder="1" applyAlignment="1">
      <alignment wrapText="1"/>
    </xf>
    <xf numFmtId="0" fontId="6" fillId="0" borderId="1" xfId="1" applyBorder="1" applyAlignment="1">
      <alignment wrapText="1"/>
    </xf>
    <xf numFmtId="0" fontId="6" fillId="0" borderId="1" xfId="1" applyBorder="1"/>
    <xf numFmtId="9" fontId="0" fillId="0" borderId="1" xfId="0" applyNumberFormat="1" applyBorder="1" applyAlignment="1">
      <alignment horizontal="center"/>
    </xf>
    <xf numFmtId="9" fontId="0" fillId="0" borderId="1" xfId="0" quotePrefix="1" applyNumberFormat="1" applyBorder="1" applyAlignment="1">
      <alignment horizontal="center" wrapText="1"/>
    </xf>
    <xf numFmtId="0" fontId="6" fillId="0" borderId="1" xfId="1" applyBorder="1" applyAlignment="1">
      <alignment horizontal="center" vertical="center"/>
    </xf>
    <xf numFmtId="15" fontId="0" fillId="0" borderId="0" xfId="0" applyNumberFormat="1" applyAlignment="1">
      <alignment horizontal="center"/>
    </xf>
    <xf numFmtId="0" fontId="0" fillId="9" borderId="0" xfId="0" applyFill="1"/>
    <xf numFmtId="0" fontId="0" fillId="0" borderId="4" xfId="0" applyBorder="1"/>
    <xf numFmtId="16" fontId="0" fillId="0" borderId="1" xfId="0" applyNumberFormat="1" applyBorder="1"/>
    <xf numFmtId="0" fontId="0" fillId="0" borderId="7" xfId="0" applyBorder="1"/>
    <xf numFmtId="16" fontId="0" fillId="0" borderId="5" xfId="0" applyNumberFormat="1" applyBorder="1"/>
    <xf numFmtId="16" fontId="0" fillId="0" borderId="11" xfId="0" applyNumberFormat="1" applyBorder="1"/>
    <xf numFmtId="0" fontId="0" fillId="0" borderId="30" xfId="0" applyBorder="1"/>
    <xf numFmtId="0" fontId="0" fillId="0" borderId="3" xfId="0" applyBorder="1" applyAlignment="1">
      <alignment horizontal="center"/>
    </xf>
    <xf numFmtId="0" fontId="0" fillId="0" borderId="5" xfId="0" applyBorder="1" applyAlignment="1">
      <alignment horizontal="center" vertical="center"/>
    </xf>
    <xf numFmtId="0" fontId="5" fillId="0" borderId="30" xfId="0" applyFont="1" applyBorder="1" applyAlignment="1">
      <alignment wrapText="1"/>
    </xf>
    <xf numFmtId="0" fontId="0" fillId="9" borderId="5" xfId="0" applyFill="1" applyBorder="1" applyAlignment="1">
      <alignment horizontal="center" vertical="center"/>
    </xf>
    <xf numFmtId="14" fontId="0" fillId="0" borderId="5" xfId="0" applyNumberFormat="1" applyBorder="1" applyAlignment="1">
      <alignment horizontal="center" vertical="center"/>
    </xf>
    <xf numFmtId="0" fontId="5" fillId="0" borderId="13" xfId="0" applyFont="1" applyBorder="1" applyAlignment="1">
      <alignment horizontal="center"/>
    </xf>
    <xf numFmtId="0" fontId="0" fillId="0" borderId="3" xfId="0" applyBorder="1"/>
    <xf numFmtId="0" fontId="0" fillId="0" borderId="3" xfId="0" applyBorder="1" applyAlignment="1">
      <alignment horizontal="center" vertical="center"/>
    </xf>
    <xf numFmtId="0" fontId="0" fillId="9" borderId="3" xfId="0" applyFill="1" applyBorder="1" applyAlignment="1">
      <alignment horizontal="center" vertical="center"/>
    </xf>
    <xf numFmtId="0" fontId="0" fillId="0" borderId="3" xfId="0" applyBorder="1" applyAlignment="1">
      <alignment horizontal="center" vertical="center" wrapText="1"/>
    </xf>
    <xf numFmtId="14" fontId="0" fillId="0" borderId="3" xfId="0" applyNumberFormat="1" applyBorder="1" applyAlignment="1">
      <alignment horizontal="center"/>
    </xf>
    <xf numFmtId="0" fontId="0" fillId="3" borderId="3" xfId="0" applyFill="1" applyBorder="1" applyAlignment="1">
      <alignment horizontal="center" vertical="center" wrapText="1"/>
    </xf>
    <xf numFmtId="0" fontId="0" fillId="0" borderId="74" xfId="0" applyBorder="1" applyAlignment="1">
      <alignment horizontal="center"/>
    </xf>
    <xf numFmtId="0" fontId="6" fillId="0" borderId="3" xfId="1" applyBorder="1" applyAlignment="1">
      <alignment horizontal="center"/>
    </xf>
    <xf numFmtId="0" fontId="0" fillId="0" borderId="74" xfId="0" applyBorder="1" applyAlignment="1">
      <alignment horizontal="center" vertical="center"/>
    </xf>
    <xf numFmtId="0" fontId="5" fillId="0" borderId="105" xfId="0" applyFont="1" applyBorder="1" applyAlignment="1">
      <alignment horizontal="left" wrapText="1"/>
    </xf>
    <xf numFmtId="14" fontId="0" fillId="0" borderId="3" xfId="0" applyNumberFormat="1" applyBorder="1" applyAlignment="1">
      <alignment horizontal="center" vertical="center"/>
    </xf>
    <xf numFmtId="14" fontId="0" fillId="0" borderId="4" xfId="0" applyNumberFormat="1" applyBorder="1" applyAlignment="1">
      <alignment horizontal="center" vertical="center"/>
    </xf>
    <xf numFmtId="0" fontId="0" fillId="9" borderId="4" xfId="0" applyFill="1" applyBorder="1" applyAlignment="1">
      <alignment horizontal="center" vertical="center"/>
    </xf>
    <xf numFmtId="0" fontId="9" fillId="0" borderId="1" xfId="0" applyFont="1" applyBorder="1"/>
    <xf numFmtId="0" fontId="0" fillId="3" borderId="2" xfId="0" applyFill="1" applyBorder="1" applyAlignment="1">
      <alignment horizontal="center" vertical="center" wrapText="1"/>
    </xf>
    <xf numFmtId="0" fontId="0" fillId="0" borderId="58" xfId="0" applyBorder="1" applyAlignment="1">
      <alignment horizontal="center" vertical="center"/>
    </xf>
    <xf numFmtId="0" fontId="0" fillId="0" borderId="1" xfId="0" applyBorder="1" applyAlignment="1">
      <alignment horizontal="left"/>
    </xf>
    <xf numFmtId="0" fontId="0" fillId="0" borderId="39" xfId="0" applyBorder="1" applyAlignment="1">
      <alignment horizontal="left"/>
    </xf>
    <xf numFmtId="0" fontId="0" fillId="0" borderId="11" xfId="0" applyBorder="1" applyAlignment="1">
      <alignment horizontal="left"/>
    </xf>
    <xf numFmtId="0" fontId="0" fillId="0" borderId="0" xfId="0" applyAlignment="1">
      <alignment horizontal="left"/>
    </xf>
    <xf numFmtId="0" fontId="0" fillId="0" borderId="58" xfId="0" applyBorder="1" applyAlignment="1">
      <alignment horizontal="center"/>
    </xf>
    <xf numFmtId="0" fontId="6" fillId="0" borderId="3" xfId="1" applyBorder="1" applyAlignment="1">
      <alignment horizontal="center" wrapText="1"/>
    </xf>
    <xf numFmtId="0" fontId="0" fillId="3" borderId="58" xfId="0" applyFill="1" applyBorder="1" applyAlignment="1">
      <alignment horizontal="center" vertical="center" wrapText="1"/>
    </xf>
    <xf numFmtId="0" fontId="0" fillId="3" borderId="11" xfId="0" applyFill="1" applyBorder="1" applyAlignment="1">
      <alignment horizontal="center" vertical="center" wrapText="1"/>
    </xf>
    <xf numFmtId="0" fontId="17" fillId="11" borderId="11" xfId="0" applyFont="1" applyFill="1" applyBorder="1" applyAlignment="1">
      <alignment horizontal="center" vertical="center"/>
    </xf>
    <xf numFmtId="0" fontId="17" fillId="11" borderId="14" xfId="0" applyFont="1" applyFill="1" applyBorder="1" applyAlignment="1">
      <alignment horizontal="center" vertical="center"/>
    </xf>
    <xf numFmtId="0" fontId="17" fillId="11" borderId="7" xfId="0" applyFont="1" applyFill="1" applyBorder="1" applyAlignment="1">
      <alignment horizontal="center" vertical="center"/>
    </xf>
    <xf numFmtId="0" fontId="18" fillId="6" borderId="11" xfId="0" applyFont="1" applyFill="1" applyBorder="1" applyAlignment="1">
      <alignment horizontal="center" vertical="center"/>
    </xf>
    <xf numFmtId="0" fontId="17" fillId="6" borderId="14" xfId="0" applyFont="1" applyFill="1" applyBorder="1" applyAlignment="1">
      <alignment horizontal="center" vertical="center"/>
    </xf>
    <xf numFmtId="0" fontId="17" fillId="6" borderId="7" xfId="0" applyFont="1" applyFill="1" applyBorder="1" applyAlignment="1">
      <alignment horizontal="center" vertical="center"/>
    </xf>
    <xf numFmtId="0" fontId="18" fillId="12" borderId="11" xfId="0" applyFont="1" applyFill="1" applyBorder="1" applyAlignment="1">
      <alignment horizontal="center" vertical="center"/>
    </xf>
    <xf numFmtId="0" fontId="17" fillId="12" borderId="7" xfId="0" applyFont="1" applyFill="1" applyBorder="1" applyAlignment="1">
      <alignment horizontal="center" vertical="center"/>
    </xf>
    <xf numFmtId="0" fontId="0" fillId="0" borderId="5" xfId="0" applyBorder="1" applyAlignment="1">
      <alignment horizontal="center" wrapText="1"/>
    </xf>
    <xf numFmtId="0" fontId="0" fillId="0" borderId="10"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left" wrapText="1"/>
    </xf>
    <xf numFmtId="0" fontId="0" fillId="0" borderId="10" xfId="0" applyBorder="1" applyAlignment="1">
      <alignment horizontal="left" wrapText="1"/>
    </xf>
    <xf numFmtId="0" fontId="0" fillId="0" borderId="4" xfId="0" applyBorder="1" applyAlignment="1">
      <alignment horizontal="left" wrapText="1"/>
    </xf>
    <xf numFmtId="0" fontId="6" fillId="0" borderId="10" xfId="1" applyBorder="1" applyAlignment="1">
      <alignment horizontal="center" vertical="center"/>
    </xf>
    <xf numFmtId="0" fontId="0" fillId="0" borderId="13" xfId="0" applyBorder="1" applyAlignment="1">
      <alignment horizontal="center" vertical="center" wrapText="1"/>
    </xf>
    <xf numFmtId="0" fontId="0" fillId="0" borderId="2" xfId="0" applyBorder="1" applyAlignment="1">
      <alignment horizontal="center" vertical="center" wrapText="1"/>
    </xf>
    <xf numFmtId="0" fontId="0" fillId="0" borderId="30"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0" fillId="0" borderId="39"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3" borderId="13"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0"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0" xfId="0" applyFill="1" applyAlignment="1">
      <alignment horizontal="center" vertical="center" wrapText="1"/>
    </xf>
    <xf numFmtId="0" fontId="0" fillId="3" borderId="35" xfId="0" applyFill="1" applyBorder="1" applyAlignment="1">
      <alignment horizontal="center" vertical="center" wrapText="1"/>
    </xf>
    <xf numFmtId="0" fontId="0" fillId="3" borderId="39" xfId="0" applyFill="1" applyBorder="1" applyAlignment="1">
      <alignment horizontal="center" vertical="center" wrapText="1"/>
    </xf>
    <xf numFmtId="0" fontId="0" fillId="3" borderId="6" xfId="0" applyFill="1" applyBorder="1" applyAlignment="1">
      <alignment horizontal="center" vertical="center" wrapText="1"/>
    </xf>
    <xf numFmtId="0" fontId="0" fillId="3" borderId="8" xfId="0" applyFill="1" applyBorder="1" applyAlignment="1">
      <alignment horizontal="center" vertical="center" wrapText="1"/>
    </xf>
    <xf numFmtId="0" fontId="6" fillId="0" borderId="5" xfId="1" applyBorder="1" applyAlignment="1">
      <alignment horizontal="center"/>
    </xf>
    <xf numFmtId="0" fontId="6" fillId="0" borderId="10" xfId="1" applyBorder="1" applyAlignment="1">
      <alignment horizontal="center"/>
    </xf>
    <xf numFmtId="0" fontId="3" fillId="0" borderId="35" xfId="0" applyFont="1" applyBorder="1" applyAlignment="1">
      <alignment horizontal="center" wrapText="1"/>
    </xf>
    <xf numFmtId="0" fontId="3" fillId="0" borderId="8" xfId="0" applyFont="1" applyBorder="1" applyAlignment="1">
      <alignment horizontal="center" wrapText="1"/>
    </xf>
    <xf numFmtId="0" fontId="0" fillId="0" borderId="30" xfId="0" applyBorder="1" applyAlignment="1">
      <alignment horizontal="left" vertical="center" wrapText="1"/>
    </xf>
    <xf numFmtId="0" fontId="0" fillId="0" borderId="35" xfId="0" applyBorder="1" applyAlignment="1">
      <alignment horizontal="left" vertical="center" wrapText="1"/>
    </xf>
    <xf numFmtId="0" fontId="0" fillId="0" borderId="5"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6" fillId="0" borderId="4" xfId="1" applyBorder="1" applyAlignment="1">
      <alignment horizontal="center" vertical="center"/>
    </xf>
    <xf numFmtId="14" fontId="0" fillId="0" borderId="5" xfId="0" applyNumberFormat="1" applyBorder="1" applyAlignment="1">
      <alignment horizontal="center"/>
    </xf>
    <xf numFmtId="14" fontId="0" fillId="0" borderId="10" xfId="0" applyNumberFormat="1" applyBorder="1" applyAlignment="1">
      <alignment horizontal="center"/>
    </xf>
    <xf numFmtId="14" fontId="0" fillId="0" borderId="4" xfId="0" applyNumberFormat="1" applyBorder="1" applyAlignment="1">
      <alignment horizontal="center"/>
    </xf>
    <xf numFmtId="0" fontId="0" fillId="0" borderId="5" xfId="0" applyBorder="1" applyAlignment="1">
      <alignment horizontal="center"/>
    </xf>
    <xf numFmtId="0" fontId="0" fillId="0" borderId="10" xfId="0" applyBorder="1" applyAlignment="1">
      <alignment horizontal="center"/>
    </xf>
    <xf numFmtId="0" fontId="0" fillId="0" borderId="4" xfId="0" applyBorder="1" applyAlignment="1">
      <alignment horizontal="center"/>
    </xf>
    <xf numFmtId="0" fontId="24" fillId="12" borderId="11" xfId="0" applyFont="1" applyFill="1" applyBorder="1" applyAlignment="1">
      <alignment horizontal="center" vertical="center"/>
    </xf>
    <xf numFmtId="0" fontId="24" fillId="12" borderId="7" xfId="0" applyFont="1" applyFill="1" applyBorder="1" applyAlignment="1">
      <alignment horizontal="center" vertical="center"/>
    </xf>
    <xf numFmtId="0" fontId="20" fillId="0" borderId="68" xfId="0" applyFont="1" applyBorder="1" applyAlignment="1">
      <alignment horizontal="center" vertical="center"/>
    </xf>
    <xf numFmtId="0" fontId="20" fillId="0" borderId="55" xfId="0" applyFont="1" applyBorder="1" applyAlignment="1">
      <alignment horizontal="center" vertical="center"/>
    </xf>
    <xf numFmtId="0" fontId="20" fillId="0" borderId="71" xfId="0" applyFont="1" applyBorder="1" applyAlignment="1">
      <alignment horizontal="center" vertical="center"/>
    </xf>
    <xf numFmtId="0" fontId="20" fillId="0" borderId="97" xfId="0" applyFont="1" applyBorder="1" applyAlignment="1">
      <alignment horizontal="center" vertical="center"/>
    </xf>
    <xf numFmtId="0" fontId="20" fillId="0" borderId="98" xfId="0" applyFont="1" applyBorder="1" applyAlignment="1">
      <alignment horizontal="center" vertical="center"/>
    </xf>
    <xf numFmtId="0" fontId="20" fillId="0" borderId="99" xfId="0" applyFont="1" applyBorder="1" applyAlignment="1">
      <alignment horizontal="center" vertical="center"/>
    </xf>
    <xf numFmtId="0" fontId="19" fillId="0" borderId="1" xfId="0" applyFont="1" applyBorder="1" applyAlignment="1">
      <alignment horizontal="center"/>
    </xf>
    <xf numFmtId="0" fontId="6" fillId="0" borderId="51" xfId="1" applyBorder="1" applyAlignment="1">
      <alignment horizontal="center" vertical="center" wrapText="1"/>
    </xf>
    <xf numFmtId="0" fontId="6" fillId="0" borderId="58" xfId="1" applyBorder="1" applyAlignment="1">
      <alignment horizontal="center" vertical="center" wrapText="1"/>
    </xf>
    <xf numFmtId="0" fontId="6" fillId="0" borderId="65" xfId="1" applyBorder="1" applyAlignment="1">
      <alignment horizontal="center" vertical="center" wrapText="1"/>
    </xf>
    <xf numFmtId="0" fontId="20" fillId="0" borderId="1" xfId="0" applyFont="1" applyBorder="1" applyAlignment="1">
      <alignment horizontal="center" vertical="center" wrapText="1"/>
    </xf>
    <xf numFmtId="0" fontId="23" fillId="11" borderId="11" xfId="0" applyFont="1" applyFill="1" applyBorder="1" applyAlignment="1">
      <alignment horizontal="center" vertical="center"/>
    </xf>
    <xf numFmtId="0" fontId="23" fillId="11" borderId="14" xfId="0" applyFont="1" applyFill="1" applyBorder="1" applyAlignment="1">
      <alignment horizontal="center" vertical="center"/>
    </xf>
    <xf numFmtId="0" fontId="23" fillId="11" borderId="7" xfId="0" applyFont="1" applyFill="1" applyBorder="1" applyAlignment="1">
      <alignment horizontal="center" vertical="center"/>
    </xf>
    <xf numFmtId="0" fontId="6" fillId="0" borderId="100" xfId="1" applyBorder="1" applyAlignment="1">
      <alignment horizontal="center" vertical="center" wrapText="1"/>
    </xf>
    <xf numFmtId="0" fontId="6" fillId="0" borderId="56" xfId="1" applyBorder="1" applyAlignment="1">
      <alignment horizontal="center" vertical="center" wrapText="1"/>
    </xf>
    <xf numFmtId="0" fontId="6" fillId="0" borderId="101" xfId="1" applyBorder="1" applyAlignment="1">
      <alignment horizontal="center" vertical="center" wrapText="1"/>
    </xf>
    <xf numFmtId="0" fontId="19" fillId="0" borderId="1" xfId="0" applyFont="1" applyBorder="1" applyAlignment="1">
      <alignment horizontal="center" wrapText="1"/>
    </xf>
    <xf numFmtId="0" fontId="24" fillId="6" borderId="11" xfId="0" applyFont="1" applyFill="1" applyBorder="1" applyAlignment="1">
      <alignment horizontal="center" vertical="center"/>
    </xf>
    <xf numFmtId="0" fontId="24" fillId="6" borderId="14" xfId="0" applyFont="1" applyFill="1" applyBorder="1" applyAlignment="1">
      <alignment horizontal="center" vertical="center"/>
    </xf>
    <xf numFmtId="0" fontId="24" fillId="6" borderId="7" xfId="0" applyFont="1" applyFill="1" applyBorder="1" applyAlignment="1">
      <alignment horizontal="center" vertical="center"/>
    </xf>
    <xf numFmtId="16" fontId="19" fillId="0" borderId="52" xfId="0" applyNumberFormat="1" applyFont="1" applyBorder="1" applyAlignment="1">
      <alignment horizontal="center" vertical="center" wrapText="1"/>
    </xf>
    <xf numFmtId="16" fontId="19" fillId="0" borderId="59" xfId="0" applyNumberFormat="1" applyFont="1" applyBorder="1" applyAlignment="1">
      <alignment horizontal="center" vertical="center" wrapText="1"/>
    </xf>
    <xf numFmtId="16" fontId="19" fillId="0" borderId="66" xfId="0" applyNumberFormat="1" applyFont="1" applyBorder="1" applyAlignment="1">
      <alignment horizontal="center" vertical="center" wrapText="1"/>
    </xf>
    <xf numFmtId="0" fontId="19" fillId="0" borderId="50"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64" xfId="0" applyFont="1" applyBorder="1" applyAlignment="1">
      <alignment horizontal="center" vertical="center" wrapText="1"/>
    </xf>
    <xf numFmtId="16" fontId="19" fillId="0" borderId="79" xfId="0" applyNumberFormat="1" applyFont="1" applyBorder="1" applyAlignment="1">
      <alignment horizontal="center" vertical="center" wrapText="1"/>
    </xf>
    <xf numFmtId="16" fontId="19" fillId="0" borderId="77" xfId="0" applyNumberFormat="1" applyFont="1" applyBorder="1" applyAlignment="1">
      <alignment horizontal="center" vertical="center" wrapText="1"/>
    </xf>
    <xf numFmtId="16" fontId="19" fillId="0" borderId="81" xfId="0" applyNumberFormat="1" applyFont="1" applyBorder="1" applyAlignment="1">
      <alignment horizontal="center" vertical="center" wrapText="1"/>
    </xf>
    <xf numFmtId="0" fontId="19" fillId="0" borderId="80" xfId="0" applyFont="1" applyBorder="1" applyAlignment="1">
      <alignment horizontal="center" vertical="center"/>
    </xf>
    <xf numFmtId="0" fontId="19" fillId="0" borderId="35" xfId="0" applyFont="1" applyBorder="1" applyAlignment="1">
      <alignment horizontal="center" vertical="center"/>
    </xf>
    <xf numFmtId="16" fontId="19" fillId="0" borderId="72" xfId="0" applyNumberFormat="1" applyFont="1" applyBorder="1" applyAlignment="1">
      <alignment horizontal="center" vertical="center" wrapText="1"/>
    </xf>
    <xf numFmtId="16" fontId="19" fillId="0" borderId="74" xfId="0" applyNumberFormat="1" applyFont="1" applyBorder="1" applyAlignment="1">
      <alignment horizontal="center" vertical="center" wrapText="1"/>
    </xf>
    <xf numFmtId="16" fontId="19" fillId="0" borderId="75" xfId="0" applyNumberFormat="1" applyFont="1" applyBorder="1" applyAlignment="1">
      <alignment horizontal="center" vertical="center" wrapText="1"/>
    </xf>
    <xf numFmtId="0" fontId="19" fillId="0" borderId="61" xfId="0" applyFont="1" applyBorder="1" applyAlignment="1">
      <alignment horizontal="center" vertical="center"/>
    </xf>
    <xf numFmtId="0" fontId="19" fillId="0" borderId="3" xfId="0" applyFont="1" applyBorder="1" applyAlignment="1">
      <alignment horizontal="center" vertical="center"/>
    </xf>
    <xf numFmtId="0" fontId="19" fillId="0" borderId="64" xfId="0" applyFont="1" applyBorder="1" applyAlignment="1">
      <alignment horizontal="center" vertical="center"/>
    </xf>
    <xf numFmtId="14" fontId="19" fillId="0" borderId="76" xfId="0" applyNumberFormat="1" applyFont="1" applyBorder="1" applyAlignment="1">
      <alignment horizontal="center" vertical="center"/>
    </xf>
    <xf numFmtId="14" fontId="19" fillId="0" borderId="77" xfId="0" applyNumberFormat="1" applyFont="1" applyBorder="1" applyAlignment="1">
      <alignment horizontal="center" vertical="center"/>
    </xf>
    <xf numFmtId="14" fontId="19" fillId="0" borderId="78" xfId="0" applyNumberFormat="1" applyFont="1" applyBorder="1" applyAlignment="1">
      <alignment horizontal="center" vertical="center"/>
    </xf>
    <xf numFmtId="14" fontId="19" fillId="0" borderId="72" xfId="0" applyNumberFormat="1"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16" fontId="19" fillId="0" borderId="67" xfId="0" applyNumberFormat="1" applyFont="1" applyBorder="1" applyAlignment="1">
      <alignment horizontal="center" vertical="center" wrapText="1"/>
    </xf>
    <xf numFmtId="0" fontId="19" fillId="0" borderId="68" xfId="0" applyFont="1" applyBorder="1" applyAlignment="1">
      <alignment horizontal="center" vertical="center"/>
    </xf>
    <xf numFmtId="0" fontId="19" fillId="0" borderId="55" xfId="0" applyFont="1" applyBorder="1" applyAlignment="1">
      <alignment horizontal="center" vertical="center"/>
    </xf>
    <xf numFmtId="0" fontId="6" fillId="0" borderId="53" xfId="1" applyBorder="1" applyAlignment="1">
      <alignment horizontal="center" vertical="center" wrapText="1"/>
    </xf>
    <xf numFmtId="0" fontId="6" fillId="0" borderId="60" xfId="1" applyBorder="1" applyAlignment="1">
      <alignment horizontal="center" vertical="center" wrapText="1"/>
    </xf>
    <xf numFmtId="0" fontId="20" fillId="0" borderId="38" xfId="0" applyFont="1" applyBorder="1" applyAlignment="1">
      <alignment horizontal="center" vertical="center" wrapText="1"/>
    </xf>
    <xf numFmtId="0" fontId="20" fillId="0" borderId="55" xfId="0" applyFont="1" applyBorder="1" applyAlignment="1">
      <alignment horizontal="center" vertical="center" wrapText="1"/>
    </xf>
    <xf numFmtId="0" fontId="20" fillId="0" borderId="61" xfId="0" applyFont="1" applyBorder="1" applyAlignment="1">
      <alignment horizontal="center" vertical="center" wrapText="1"/>
    </xf>
    <xf numFmtId="0" fontId="20" fillId="0" borderId="48" xfId="0" applyFont="1" applyBorder="1" applyAlignment="1">
      <alignment horizontal="center" vertical="center" wrapText="1"/>
    </xf>
    <xf numFmtId="0" fontId="20" fillId="0" borderId="56" xfId="0" applyFont="1" applyBorder="1" applyAlignment="1">
      <alignment horizontal="center" vertical="center" wrapText="1"/>
    </xf>
    <xf numFmtId="0" fontId="20" fillId="0" borderId="62" xfId="0" applyFont="1" applyBorder="1" applyAlignment="1">
      <alignment horizontal="center" vertical="center" wrapText="1"/>
    </xf>
    <xf numFmtId="16" fontId="19" fillId="0" borderId="49" xfId="0" applyNumberFormat="1" applyFont="1" applyBorder="1" applyAlignment="1">
      <alignment horizontal="center" vertical="center" wrapText="1"/>
    </xf>
    <xf numFmtId="16" fontId="19" fillId="0" borderId="57" xfId="0" applyNumberFormat="1" applyFont="1" applyBorder="1" applyAlignment="1">
      <alignment horizontal="center" vertical="center" wrapText="1"/>
    </xf>
    <xf numFmtId="16" fontId="19" fillId="0" borderId="63" xfId="0" applyNumberFormat="1" applyFont="1" applyBorder="1" applyAlignment="1">
      <alignment horizontal="center" vertical="center" wrapText="1"/>
    </xf>
    <xf numFmtId="0" fontId="20" fillId="0" borderId="38" xfId="0" applyFont="1" applyBorder="1" applyAlignment="1">
      <alignment horizontal="center" vertical="center"/>
    </xf>
    <xf numFmtId="0" fontId="20" fillId="0" borderId="61" xfId="0" applyFont="1" applyBorder="1" applyAlignment="1">
      <alignment horizontal="center" vertical="center"/>
    </xf>
    <xf numFmtId="16" fontId="19" fillId="0" borderId="82" xfId="0" applyNumberFormat="1" applyFont="1" applyBorder="1" applyAlignment="1">
      <alignment horizontal="center" vertical="center" wrapText="1"/>
    </xf>
    <xf numFmtId="16" fontId="19" fillId="0" borderId="86" xfId="0" applyNumberFormat="1" applyFont="1" applyBorder="1" applyAlignment="1">
      <alignment horizontal="center" vertical="center" wrapText="1"/>
    </xf>
    <xf numFmtId="16" fontId="19" fillId="0" borderId="88" xfId="0" applyNumberFormat="1" applyFont="1" applyBorder="1" applyAlignment="1">
      <alignment horizontal="center" vertical="center" wrapText="1"/>
    </xf>
    <xf numFmtId="0" fontId="20" fillId="0" borderId="83" xfId="0" applyFont="1" applyBorder="1" applyAlignment="1">
      <alignment horizontal="center" vertical="center"/>
    </xf>
    <xf numFmtId="0" fontId="20" fillId="0" borderId="3" xfId="0" applyFont="1" applyBorder="1" applyAlignment="1">
      <alignment horizontal="center" vertical="center"/>
    </xf>
    <xf numFmtId="0" fontId="20" fillId="0" borderId="89" xfId="0" applyFont="1" applyBorder="1" applyAlignment="1">
      <alignment horizontal="center" vertical="center"/>
    </xf>
    <xf numFmtId="0" fontId="20" fillId="0" borderId="84" xfId="0" applyFont="1" applyBorder="1" applyAlignment="1">
      <alignment horizontal="center" vertical="center"/>
    </xf>
    <xf numFmtId="0" fontId="20" fillId="0" borderId="90" xfId="0" applyFont="1" applyBorder="1" applyAlignment="1">
      <alignment horizontal="center" vertical="center"/>
    </xf>
    <xf numFmtId="0" fontId="6" fillId="0" borderId="85" xfId="1" applyBorder="1" applyAlignment="1">
      <alignment horizontal="center" vertical="center" wrapText="1"/>
    </xf>
    <xf numFmtId="0" fontId="6" fillId="0" borderId="87" xfId="1" applyBorder="1" applyAlignment="1">
      <alignment horizontal="center" vertical="center" wrapText="1"/>
    </xf>
    <xf numFmtId="0" fontId="6" fillId="0" borderId="91" xfId="1" applyBorder="1" applyAlignment="1">
      <alignment horizontal="center" vertical="center" wrapText="1"/>
    </xf>
    <xf numFmtId="0" fontId="19" fillId="0" borderId="94" xfId="0" applyFont="1" applyBorder="1" applyAlignment="1">
      <alignment horizontal="center" vertical="center"/>
    </xf>
    <xf numFmtId="0" fontId="19" fillId="0" borderId="87" xfId="0" applyFont="1" applyBorder="1" applyAlignment="1">
      <alignment horizontal="center" vertical="center"/>
    </xf>
    <xf numFmtId="0" fontId="19" fillId="0" borderId="96" xfId="0" applyFont="1" applyBorder="1" applyAlignment="1">
      <alignment horizontal="center" vertical="center"/>
    </xf>
    <xf numFmtId="0" fontId="19" fillId="0" borderId="48" xfId="0" applyFont="1" applyBorder="1" applyAlignment="1">
      <alignment horizontal="center" vertical="center"/>
    </xf>
    <xf numFmtId="0" fontId="19" fillId="0" borderId="56" xfId="0" applyFont="1" applyBorder="1" applyAlignment="1">
      <alignment horizontal="center" vertical="center"/>
    </xf>
    <xf numFmtId="0" fontId="19" fillId="0" borderId="62" xfId="0" applyFont="1" applyBorder="1" applyAlignment="1">
      <alignment horizontal="center" vertical="center"/>
    </xf>
    <xf numFmtId="16" fontId="19" fillId="0" borderId="54" xfId="0" applyNumberFormat="1" applyFont="1" applyBorder="1" applyAlignment="1">
      <alignment horizontal="center" vertical="center" wrapText="1"/>
    </xf>
    <xf numFmtId="14" fontId="19" fillId="0" borderId="61" xfId="0" applyNumberFormat="1" applyFont="1" applyBorder="1" applyAlignment="1">
      <alignment horizontal="center" vertical="center"/>
    </xf>
    <xf numFmtId="0" fontId="19" fillId="0" borderId="38" xfId="0" applyFont="1" applyBorder="1" applyAlignment="1">
      <alignment horizontal="center" vertical="center"/>
    </xf>
    <xf numFmtId="16" fontId="19" fillId="0" borderId="93" xfId="0" applyNumberFormat="1" applyFont="1" applyBorder="1" applyAlignment="1">
      <alignment horizontal="center" vertical="center" wrapText="1"/>
    </xf>
    <xf numFmtId="0" fontId="19" fillId="0" borderId="83" xfId="0" applyFont="1" applyBorder="1" applyAlignment="1">
      <alignment horizontal="center" vertical="center"/>
    </xf>
    <xf numFmtId="0" fontId="20" fillId="0" borderId="5" xfId="0" applyFont="1" applyBorder="1" applyAlignment="1">
      <alignment horizontal="center"/>
    </xf>
    <xf numFmtId="0" fontId="20" fillId="0" borderId="10" xfId="0" applyFont="1" applyBorder="1" applyAlignment="1">
      <alignment horizontal="center"/>
    </xf>
    <xf numFmtId="0" fontId="20" fillId="0" borderId="4" xfId="0" applyFont="1" applyBorder="1" applyAlignment="1">
      <alignment horizontal="center"/>
    </xf>
    <xf numFmtId="0" fontId="19" fillId="0" borderId="48" xfId="0" applyFont="1" applyBorder="1" applyAlignment="1">
      <alignment horizontal="center"/>
    </xf>
    <xf numFmtId="0" fontId="19" fillId="0" borderId="56" xfId="0" applyFont="1" applyBorder="1" applyAlignment="1">
      <alignment horizontal="center"/>
    </xf>
    <xf numFmtId="0" fontId="19" fillId="0" borderId="62" xfId="0" applyFont="1" applyBorder="1" applyAlignment="1">
      <alignment horizontal="center"/>
    </xf>
    <xf numFmtId="0" fontId="20" fillId="0" borderId="3" xfId="0" applyFont="1" applyBorder="1" applyAlignment="1">
      <alignment horizontal="center" vertical="center" wrapText="1"/>
    </xf>
    <xf numFmtId="0" fontId="19" fillId="0" borderId="94" xfId="0" applyFont="1" applyBorder="1" applyAlignment="1">
      <alignment horizontal="center"/>
    </xf>
    <xf numFmtId="0" fontId="19" fillId="0" borderId="87" xfId="0" applyFont="1" applyBorder="1" applyAlignment="1">
      <alignment horizontal="center"/>
    </xf>
    <xf numFmtId="0" fontId="19" fillId="0" borderId="95" xfId="0" applyFont="1" applyBorder="1" applyAlignment="1">
      <alignment horizontal="center"/>
    </xf>
    <xf numFmtId="0" fontId="19" fillId="0" borderId="89" xfId="0" applyFont="1" applyBorder="1" applyAlignment="1">
      <alignment horizontal="center" vertical="center"/>
    </xf>
    <xf numFmtId="16" fontId="19" fillId="0" borderId="92" xfId="0" applyNumberFormat="1" applyFont="1" applyBorder="1" applyAlignment="1">
      <alignment horizontal="center" vertical="center" wrapText="1"/>
    </xf>
    <xf numFmtId="0" fontId="19" fillId="0" borderId="50" xfId="0" applyFont="1" applyBorder="1" applyAlignment="1">
      <alignment horizontal="center" vertical="center"/>
    </xf>
    <xf numFmtId="0" fontId="6" fillId="0" borderId="69" xfId="1" applyBorder="1" applyAlignment="1">
      <alignment horizontal="center" vertical="center" wrapText="1"/>
    </xf>
    <xf numFmtId="0" fontId="6" fillId="0" borderId="70" xfId="1" applyBorder="1" applyAlignment="1">
      <alignment horizontal="center" vertical="center" wrapText="1"/>
    </xf>
    <xf numFmtId="0" fontId="6" fillId="0" borderId="73" xfId="1" applyBorder="1" applyAlignment="1">
      <alignment horizontal="center" vertical="center" wrapText="1"/>
    </xf>
    <xf numFmtId="0" fontId="18" fillId="6" borderId="14" xfId="0" applyFont="1" applyFill="1" applyBorder="1" applyAlignment="1">
      <alignment horizontal="center" vertical="center"/>
    </xf>
    <xf numFmtId="0" fontId="18" fillId="6" borderId="7" xfId="0" applyFont="1" applyFill="1" applyBorder="1" applyAlignment="1">
      <alignment horizontal="center" vertical="center"/>
    </xf>
    <xf numFmtId="0" fontId="18" fillId="12" borderId="7" xfId="0" applyFont="1" applyFill="1" applyBorder="1" applyAlignment="1">
      <alignment horizontal="center" vertical="center"/>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wrapText="1"/>
    </xf>
    <xf numFmtId="0" fontId="0" fillId="0" borderId="28" xfId="0" applyBorder="1" applyAlignment="1">
      <alignment horizontal="center" vertical="center" wrapText="1"/>
    </xf>
    <xf numFmtId="0" fontId="0" fillId="0" borderId="102" xfId="0" applyBorder="1" applyAlignment="1">
      <alignment horizontal="center" vertical="center" wrapText="1"/>
    </xf>
    <xf numFmtId="0" fontId="0" fillId="0" borderId="103" xfId="0" applyBorder="1" applyAlignment="1">
      <alignment horizontal="center" vertical="center" wrapText="1"/>
    </xf>
    <xf numFmtId="0" fontId="6" fillId="0" borderId="0" xfId="1" applyAlignment="1">
      <alignment vertical="center" wrapText="1"/>
    </xf>
    <xf numFmtId="0" fontId="2" fillId="2" borderId="2" xfId="0" applyFont="1" applyFill="1" applyBorder="1" applyAlignment="1">
      <alignment horizontal="center"/>
    </xf>
    <xf numFmtId="0" fontId="2" fillId="2" borderId="0" xfId="0" applyFont="1" applyFill="1" applyAlignment="1">
      <alignment horizontal="center"/>
    </xf>
    <xf numFmtId="0" fontId="2" fillId="2" borderId="30" xfId="0" applyFont="1" applyFill="1" applyBorder="1" applyAlignment="1">
      <alignment horizontal="center"/>
    </xf>
    <xf numFmtId="0" fontId="2" fillId="2" borderId="35" xfId="0" applyFont="1" applyFill="1" applyBorder="1" applyAlignment="1">
      <alignment horizontal="center"/>
    </xf>
    <xf numFmtId="0" fontId="13" fillId="2" borderId="13" xfId="0" applyFont="1" applyFill="1" applyBorder="1" applyAlignment="1">
      <alignment horizontal="center"/>
    </xf>
    <xf numFmtId="0" fontId="13" fillId="2" borderId="12" xfId="0" applyFont="1" applyFill="1" applyBorder="1" applyAlignment="1">
      <alignment horizontal="center"/>
    </xf>
    <xf numFmtId="0" fontId="13" fillId="2" borderId="2" xfId="0" applyFont="1" applyFill="1" applyBorder="1" applyAlignment="1">
      <alignment horizontal="center"/>
    </xf>
    <xf numFmtId="0" fontId="13" fillId="2" borderId="0" xfId="0" applyFont="1" applyFill="1" applyAlignment="1">
      <alignment horizontal="center"/>
    </xf>
    <xf numFmtId="0" fontId="13" fillId="2" borderId="30" xfId="0" applyFont="1" applyFill="1" applyBorder="1" applyAlignment="1">
      <alignment horizontal="center"/>
    </xf>
    <xf numFmtId="0" fontId="13" fillId="2" borderId="35" xfId="0" applyFont="1" applyFill="1" applyBorder="1" applyAlignment="1">
      <alignment horizontal="center"/>
    </xf>
    <xf numFmtId="0" fontId="8" fillId="11" borderId="11" xfId="0" applyFont="1" applyFill="1" applyBorder="1" applyAlignment="1">
      <alignment horizontal="center" vertical="center"/>
    </xf>
    <xf numFmtId="0" fontId="8" fillId="11" borderId="14" xfId="0" applyFont="1" applyFill="1" applyBorder="1" applyAlignment="1">
      <alignment horizontal="center" vertical="center"/>
    </xf>
    <xf numFmtId="0" fontId="8" fillId="11" borderId="7" xfId="0" applyFont="1" applyFill="1" applyBorder="1" applyAlignment="1">
      <alignment horizontal="center" vertical="center"/>
    </xf>
    <xf numFmtId="0" fontId="4" fillId="0" borderId="5" xfId="0" applyFont="1" applyBorder="1" applyAlignment="1">
      <alignment horizontal="center" vertical="center"/>
    </xf>
    <xf numFmtId="0" fontId="4" fillId="0" borderId="10"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xf>
    <xf numFmtId="0" fontId="4" fillId="0" borderId="10" xfId="0" applyFont="1" applyBorder="1" applyAlignment="1">
      <alignment horizontal="center"/>
    </xf>
    <xf numFmtId="0" fontId="4" fillId="0" borderId="4" xfId="0" applyFont="1" applyBorder="1" applyAlignment="1">
      <alignment horizontal="center"/>
    </xf>
    <xf numFmtId="0" fontId="4" fillId="0" borderId="1" xfId="0" applyFont="1" applyBorder="1" applyAlignment="1">
      <alignment horizontal="center"/>
    </xf>
    <xf numFmtId="0" fontId="0" fillId="0" borderId="1" xfId="0" applyBorder="1" applyAlignment="1">
      <alignment horizontal="center" wrapText="1"/>
    </xf>
    <xf numFmtId="0" fontId="0" fillId="0" borderId="1" xfId="0" applyBorder="1" applyAlignment="1">
      <alignment horizontal="center"/>
    </xf>
    <xf numFmtId="0" fontId="4" fillId="0" borderId="1" xfId="0" applyFont="1" applyBorder="1" applyAlignment="1">
      <alignment horizontal="center" vertical="center"/>
    </xf>
    <xf numFmtId="0" fontId="0" fillId="0" borderId="34"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35" xfId="0" applyBorder="1" applyAlignment="1">
      <alignment horizontal="center" vertical="center"/>
    </xf>
    <xf numFmtId="0" fontId="0" fillId="0" borderId="39"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14" borderId="10" xfId="0" applyFill="1" applyBorder="1" applyAlignment="1">
      <alignment horizontal="center" vertical="center"/>
    </xf>
    <xf numFmtId="0" fontId="0" fillId="14" borderId="4" xfId="0" applyFill="1" applyBorder="1" applyAlignment="1">
      <alignment horizontal="center" vertical="center"/>
    </xf>
    <xf numFmtId="0" fontId="0" fillId="0" borderId="5" xfId="0" applyBorder="1" applyAlignment="1">
      <alignment vertical="center" wrapText="1"/>
    </xf>
    <xf numFmtId="0" fontId="0" fillId="0" borderId="10" xfId="0" applyBorder="1" applyAlignment="1">
      <alignment vertical="center" wrapText="1"/>
    </xf>
    <xf numFmtId="0" fontId="0" fillId="0" borderId="4" xfId="0" applyBorder="1" applyAlignment="1">
      <alignment vertical="center" wrapText="1"/>
    </xf>
    <xf numFmtId="0" fontId="11" fillId="0" borderId="15"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36" xfId="0" applyFont="1" applyBorder="1" applyAlignment="1">
      <alignment horizontal="center" vertical="center" wrapText="1"/>
    </xf>
    <xf numFmtId="0" fontId="0" fillId="0" borderId="42" xfId="0" applyBorder="1" applyAlignment="1">
      <alignment horizontal="center" vertical="center" wrapText="1"/>
    </xf>
    <xf numFmtId="0" fontId="0" fillId="0" borderId="31" xfId="0" applyBorder="1" applyAlignment="1">
      <alignment horizontal="center" vertical="center" wrapText="1"/>
    </xf>
    <xf numFmtId="0" fontId="0" fillId="0" borderId="43" xfId="0" applyBorder="1" applyAlignment="1">
      <alignment horizontal="center" vertical="center" wrapText="1"/>
    </xf>
    <xf numFmtId="0" fontId="6" fillId="0" borderId="31" xfId="1" applyBorder="1" applyAlignment="1">
      <alignment horizontal="center" vertical="center" wrapText="1"/>
    </xf>
    <xf numFmtId="0" fontId="0" fillId="0" borderId="15" xfId="0" applyBorder="1" applyAlignment="1">
      <alignment horizontal="center" vertical="center"/>
    </xf>
    <xf numFmtId="0" fontId="0" fillId="0" borderId="18" xfId="0" applyBorder="1" applyAlignment="1">
      <alignment horizontal="center" vertical="center"/>
    </xf>
    <xf numFmtId="0" fontId="0" fillId="0" borderId="20" xfId="0" applyBorder="1" applyAlignment="1">
      <alignment horizontal="center" vertical="center"/>
    </xf>
    <xf numFmtId="0" fontId="9" fillId="0" borderId="17" xfId="0" applyFont="1" applyBorder="1" applyAlignment="1">
      <alignment horizontal="center" vertical="top" wrapText="1"/>
    </xf>
    <xf numFmtId="0" fontId="9" fillId="0" borderId="19" xfId="0" applyFont="1" applyBorder="1" applyAlignment="1">
      <alignment horizontal="center" vertical="top"/>
    </xf>
    <xf numFmtId="0" fontId="9" fillId="0" borderId="22" xfId="0" applyFont="1" applyBorder="1" applyAlignment="1">
      <alignment horizontal="center" vertical="top"/>
    </xf>
    <xf numFmtId="0" fontId="9" fillId="0" borderId="25" xfId="0" applyFont="1" applyBorder="1" applyAlignment="1">
      <alignment horizontal="center" vertical="top" wrapText="1"/>
    </xf>
    <xf numFmtId="0" fontId="9" fillId="0" borderId="26" xfId="0" applyFont="1" applyBorder="1" applyAlignment="1">
      <alignment horizontal="center" vertical="top"/>
    </xf>
    <xf numFmtId="0" fontId="9" fillId="0" borderId="27" xfId="0" applyFont="1" applyBorder="1" applyAlignment="1">
      <alignment horizontal="center" vertical="top"/>
    </xf>
    <xf numFmtId="0" fontId="6" fillId="0" borderId="0" xfId="1" applyAlignment="1">
      <alignment horizontal="center" vertical="center" wrapText="1"/>
    </xf>
    <xf numFmtId="0" fontId="0" fillId="0" borderId="1" xfId="0" applyBorder="1" applyAlignment="1">
      <alignment horizontal="center" vertical="center"/>
    </xf>
    <xf numFmtId="0" fontId="15" fillId="0" borderId="25" xfId="0" applyFont="1" applyBorder="1" applyAlignment="1">
      <alignment horizontal="center" vertical="top" wrapText="1"/>
    </xf>
    <xf numFmtId="0" fontId="15" fillId="0" borderId="26" xfId="0" applyFont="1" applyBorder="1" applyAlignment="1">
      <alignment horizontal="center" vertical="top" wrapText="1"/>
    </xf>
    <xf numFmtId="0" fontId="15" fillId="0" borderId="27" xfId="0" applyFont="1" applyBorder="1" applyAlignment="1">
      <alignment horizontal="center" vertical="top" wrapText="1"/>
    </xf>
    <xf numFmtId="0" fontId="15" fillId="0" borderId="17" xfId="0" applyFont="1" applyBorder="1" applyAlignment="1">
      <alignment horizontal="center" vertical="top" wrapText="1"/>
    </xf>
    <xf numFmtId="0" fontId="15" fillId="0" borderId="19" xfId="0" applyFont="1" applyBorder="1" applyAlignment="1">
      <alignment horizontal="center" vertical="top" wrapText="1"/>
    </xf>
    <xf numFmtId="0" fontId="15" fillId="0" borderId="22" xfId="0" applyFont="1" applyBorder="1" applyAlignment="1">
      <alignment horizontal="center" vertical="top"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vertical="center"/>
    </xf>
    <xf numFmtId="0" fontId="6" fillId="0" borderId="3" xfId="1" applyBorder="1" applyAlignment="1">
      <alignment horizontal="center" vertical="center"/>
    </xf>
    <xf numFmtId="1" fontId="0" fillId="3" borderId="3" xfId="0" applyNumberFormat="1" applyFill="1" applyBorder="1" applyAlignment="1">
      <alignment horizontal="center" vertical="center" wrapText="1"/>
    </xf>
    <xf numFmtId="0" fontId="0" fillId="3" borderId="3" xfId="0" applyFill="1" applyBorder="1" applyAlignment="1">
      <alignment horizontal="center" vertical="center" wrapText="1"/>
    </xf>
    <xf numFmtId="0" fontId="5" fillId="0" borderId="1" xfId="0" applyFont="1" applyBorder="1" applyAlignment="1">
      <alignment horizontal="center" vertical="center"/>
    </xf>
    <xf numFmtId="0" fontId="6" fillId="0" borderId="3" xfId="1" applyBorder="1" applyAlignment="1">
      <alignment horizontal="center" vertical="center" wrapText="1"/>
    </xf>
    <xf numFmtId="0" fontId="5" fillId="0" borderId="3" xfId="0" applyFont="1" applyBorder="1" applyAlignment="1">
      <alignment horizontal="center" vertical="center"/>
    </xf>
    <xf numFmtId="0" fontId="0" fillId="0" borderId="5" xfId="0" applyBorder="1" applyAlignment="1">
      <alignment horizontal="center" vertical="center"/>
    </xf>
    <xf numFmtId="49" fontId="0" fillId="0" borderId="3" xfId="0" applyNumberFormat="1" applyBorder="1" applyAlignment="1">
      <alignment horizontal="center" vertical="center"/>
    </xf>
    <xf numFmtId="0" fontId="0" fillId="0" borderId="3" xfId="0" applyBorder="1" applyAlignment="1">
      <alignment horizontal="center"/>
    </xf>
    <xf numFmtId="0" fontId="0" fillId="3" borderId="58" xfId="0" applyFill="1" applyBorder="1" applyAlignment="1">
      <alignment horizontal="center" vertical="center" wrapText="1"/>
    </xf>
    <xf numFmtId="0" fontId="0" fillId="0" borderId="107" xfId="0" applyBorder="1" applyAlignment="1">
      <alignment horizontal="center" vertical="center" wrapText="1"/>
    </xf>
    <xf numFmtId="0" fontId="0" fillId="0" borderId="48" xfId="0" applyBorder="1" applyAlignment="1">
      <alignment horizontal="center" vertical="center"/>
    </xf>
    <xf numFmtId="0" fontId="0" fillId="0" borderId="56" xfId="0" applyBorder="1" applyAlignment="1">
      <alignment horizontal="center" vertical="center"/>
    </xf>
    <xf numFmtId="0" fontId="0" fillId="0" borderId="106" xfId="0" applyBorder="1" applyAlignment="1">
      <alignment horizontal="center" vertical="center"/>
    </xf>
    <xf numFmtId="0" fontId="0" fillId="0" borderId="41" xfId="0" applyBorder="1" applyAlignment="1">
      <alignment horizontal="center" vertical="center" wrapText="1"/>
    </xf>
    <xf numFmtId="0" fontId="0" fillId="13" borderId="13" xfId="0" applyFill="1" applyBorder="1" applyAlignment="1">
      <alignment horizontal="center" vertical="center"/>
    </xf>
    <xf numFmtId="0" fontId="0" fillId="13" borderId="30" xfId="0" applyFill="1" applyBorder="1" applyAlignment="1">
      <alignment horizontal="center" vertical="center"/>
    </xf>
    <xf numFmtId="0" fontId="0" fillId="13" borderId="12" xfId="0" applyFill="1" applyBorder="1" applyAlignment="1">
      <alignment horizontal="center" vertical="center"/>
    </xf>
    <xf numFmtId="0" fontId="0" fillId="13" borderId="35" xfId="0" applyFill="1" applyBorder="1" applyAlignment="1">
      <alignment horizontal="center" vertical="center"/>
    </xf>
    <xf numFmtId="0" fontId="0" fillId="13" borderId="39" xfId="0" applyFill="1" applyBorder="1" applyAlignment="1">
      <alignment horizontal="center" vertical="center"/>
    </xf>
    <xf numFmtId="0" fontId="0" fillId="13" borderId="8" xfId="0" applyFill="1" applyBorder="1" applyAlignment="1">
      <alignment horizontal="center" vertical="center"/>
    </xf>
    <xf numFmtId="0" fontId="3" fillId="0" borderId="18" xfId="0" applyFont="1" applyBorder="1" applyAlignment="1">
      <alignment horizontal="center" vertical="center" wrapText="1"/>
    </xf>
    <xf numFmtId="0" fontId="1" fillId="14" borderId="5" xfId="0" applyFont="1" applyFill="1" applyBorder="1" applyAlignment="1">
      <alignment horizontal="center" vertical="center" wrapText="1"/>
    </xf>
    <xf numFmtId="0" fontId="26" fillId="0" borderId="1" xfId="0" applyFont="1" applyBorder="1" applyAlignment="1"/>
  </cellXfs>
  <cellStyles count="2">
    <cellStyle name="Hyperlink" xfId="1" builtinId="8"/>
    <cellStyle name="Normal" xfId="0" builtinId="0"/>
  </cellStyles>
  <dxfs count="0"/>
  <tableStyles count="0" defaultTableStyle="TableStyleMedium2" defaultPivotStyle="PivotStyleLight16"/>
  <colors>
    <mruColors>
      <color rgb="FFEBAECA"/>
      <color rgb="FF6A93CC"/>
      <color rgb="FFC4CC68"/>
      <color rgb="FF8DD9D6"/>
      <color rgb="FFCC9D9D"/>
      <color rgb="FFEDD3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w:/r/teams/EXT_CIStoSAP-AWSConnect_Lex/Shared%20Documents/AWS%20Connect_Lex/05.%20Unified%20Customer%20Data%20Platform/Testing/Performance%20Testing/Release%201/Outcome/UCDP%20PerformanceAnalysis(200K_70TPS)_20022025.docx?d=w01e34a09a5ce425ba538ce49867a6c45&amp;csf=1&amp;web=1&amp;e=bEEu3F" TargetMode="External"/><Relationship Id="rId2" Type="http://schemas.openxmlformats.org/officeDocument/2006/relationships/hyperlink" Target="../../../../../../../../:w:/r/teams/EXT_CIStoSAP-AWSConnect_Lex/Shared%20Documents/AWS%20Connect_Lex/05.%20Unified%20Customer%20Data%20Platform/Testing/Performance%20Testing/Release%201/Outcome/UCDP%20PerformanceAnalysis(1M_130TPS)_26022025.docx?d=w8e28684ac831426299a8decba58ffa08&amp;csf=1&amp;web=1&amp;e=MsOxRK" TargetMode="External"/><Relationship Id="rId1" Type="http://schemas.openxmlformats.org/officeDocument/2006/relationships/hyperlink" Target="../../../../../../../../:w:/r/teams/EXT_CIStoSAP-AWSConnect_Lex/Shared%20Documents/AWS%20Connect_Lex/05.%20Unified%20Customer%20Data%20Platform/Testing/Performance%20Testing/Release%201/Outcome/UCDP%20PerformanceAnalysis(100K_70TPS)_18022025.docx?d=w4aff5ec088c04947b255b16d814caa26&amp;csf=1&amp;web=1&amp;e=fOgfZo" TargetMode="External"/><Relationship Id="rId6" Type="http://schemas.openxmlformats.org/officeDocument/2006/relationships/hyperlink" Target="../../../../../../../../:w:/r/teams/EXT_CIStoSAP-AWSConnect_Lex/Shared%20Documents/AWS%20Connect_Lex/05.%20Unified%20Customer%20Data%20Platform/Testing/Performance%20Testing/Release%201/Outcome/UCDP%20PerformanceAnalysis(1M_70TPS)_24022025.docx?d=w73b6b4ae050c46cdab603a6494cadb78&amp;csf=1&amp;web=1&amp;e=YfCYto" TargetMode="External"/><Relationship Id="rId5" Type="http://schemas.openxmlformats.org/officeDocument/2006/relationships/hyperlink" Target="../../../../../../../../:w:/r/teams/EXT_CIStoSAP-AWSConnect_Lex/Shared%20Documents/AWS%20Connect_Lex/05.%20Unified%20Customer%20Data%20Platform/Testing/Performance%20Testing/Release%201/Outcome/UCDP%20PerformanceAnalysis(1M_READ_260TPS_1M_WRITE_260TPS)_05032025.docx?d=wb464c09281524ee9b6feed2a6890f57d&amp;csf=1&amp;web=1&amp;e=QfqS7q" TargetMode="External"/><Relationship Id="rId4" Type="http://schemas.openxmlformats.org/officeDocument/2006/relationships/hyperlink" Target="../../../../../../../../:w:/r/teams/EXT_CIStoSAP-AWSConnect_Lex/Shared%20Documents/AWS%20Connect_Lex/05.%20Unified%20Customer%20Data%20Platform/Testing/Performance%20Testing/Release%201/Outcome/UCDP%20PerformanceAnalysis(1M_READ_130TPS_1M_WRITE_130TPS)_03032025.docx?d=w58f0e9eea9a542b3a74b0fb42f67a659&amp;csf=1&amp;web=1&amp;e=XwMbw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onfluence.nexteraenergy.com/x/S0buJQ" TargetMode="External"/><Relationship Id="rId13" Type="http://schemas.openxmlformats.org/officeDocument/2006/relationships/hyperlink" Target="https://confluence.nexteraenergy.com/x/S0buJQ" TargetMode="External"/><Relationship Id="rId3" Type="http://schemas.openxmlformats.org/officeDocument/2006/relationships/hyperlink" Target="https://confluence.nexteraenergy.com/x/S0buJQ" TargetMode="External"/><Relationship Id="rId7" Type="http://schemas.openxmlformats.org/officeDocument/2006/relationships/hyperlink" Target="https://confluence.nexteraenergy.com/x/S0buJQ" TargetMode="External"/><Relationship Id="rId12" Type="http://schemas.openxmlformats.org/officeDocument/2006/relationships/hyperlink" Target="https://confluence.nexteraenergy.com/x/S0buJQ" TargetMode="External"/><Relationship Id="rId2" Type="http://schemas.openxmlformats.org/officeDocument/2006/relationships/hyperlink" Target="https://confluence.nexteraenergy.com/x/S0buJQ" TargetMode="External"/><Relationship Id="rId1" Type="http://schemas.openxmlformats.org/officeDocument/2006/relationships/hyperlink" Target="https://qmetry.nee.com/" TargetMode="External"/><Relationship Id="rId6" Type="http://schemas.openxmlformats.org/officeDocument/2006/relationships/hyperlink" Target="https://confluence.nexteraenergy.com/x/S0buJQ" TargetMode="External"/><Relationship Id="rId11" Type="http://schemas.openxmlformats.org/officeDocument/2006/relationships/hyperlink" Target="https://confluence.nexteraenergy.com/x/S0buJQ" TargetMode="External"/><Relationship Id="rId5" Type="http://schemas.openxmlformats.org/officeDocument/2006/relationships/hyperlink" Target="https://confluence.nexteraenergy.com/x/S0buJQ" TargetMode="External"/><Relationship Id="rId15" Type="http://schemas.openxmlformats.org/officeDocument/2006/relationships/hyperlink" Target="https://confluence.nexteraenergy.com/x/S0buJQ" TargetMode="External"/><Relationship Id="rId10" Type="http://schemas.openxmlformats.org/officeDocument/2006/relationships/hyperlink" Target="https://confluence.nexteraenergy.com/x/S0buJQ" TargetMode="External"/><Relationship Id="rId4" Type="http://schemas.openxmlformats.org/officeDocument/2006/relationships/hyperlink" Target="https://confluence.nexteraenergy.com/x/S0buJQ" TargetMode="External"/><Relationship Id="rId9" Type="http://schemas.openxmlformats.org/officeDocument/2006/relationships/hyperlink" Target="https://confluence.nexteraenergy.com/x/S0buJQ" TargetMode="External"/><Relationship Id="rId14" Type="http://schemas.openxmlformats.org/officeDocument/2006/relationships/hyperlink" Target="https://confluence.nexteraenergy.com/x/S0buJQ"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onfluence.nexteraenergy.com/spaces/MULESFTINT/pages/610788133/IR2.0+Field+Service+-+Meter+Ping+-+CRM+Field" TargetMode="External"/><Relationship Id="rId3" Type="http://schemas.openxmlformats.org/officeDocument/2006/relationships/hyperlink" Target="https://jira.nexteraenergy.com/browse/SFFIELD-3709" TargetMode="External"/><Relationship Id="rId7" Type="http://schemas.openxmlformats.org/officeDocument/2006/relationships/hyperlink" Target="https://jira.nexteraenergy.com/browse/SFAD-9356/%20converted%20to%20CS%20field%20issue:%20https:/jira.nexteraenergy.com/browse/SFFIELD-3815" TargetMode="External"/><Relationship Id="rId2" Type="http://schemas.openxmlformats.org/officeDocument/2006/relationships/hyperlink" Target="../../../../../Forms/AllItems.aspx?id=%2Fteams%2FEXT%5FCIStoSAP%2FShared%20Documents%2FOperational%20Readiness%20and%20Testing%2F00%2E%20Integrated%20Releases%2F01%2D%20Integrated%20Release%201%2E0%2F02%2E%20UAT%2F03%2E%20Performance%20Testing%2FUnified%20CRM%2D%20Performance%20Test%2FField%20Services&amp;viewid=7c6b97d2%2De29a%2D4b27%2D98e7%2D3f5d5bd11dff&amp;CT=1744734421771&amp;OR=OWA%2DNT%2DMail&amp;CID=fdad4da5%2D3ad1%2D9d3f%2Ddbc8%2Ddc1163ee8893&amp;e=5%3A114072a8299643868b1c4fc0e1a4594b&amp;sharingv2=true&amp;fromShare=true&amp;at=9&amp;FolderCTID=0x012000D735ADCC1E28D24684C83D05ABBC84C7" TargetMode="External"/><Relationship Id="rId1" Type="http://schemas.openxmlformats.org/officeDocument/2006/relationships/hyperlink" Target="../../../../../Forms/AllItems.aspx?id=%2Fteams%2FEXT%5FCIStoSAP%2FShared%20Documents%2FOperational%20Readiness%20and%20Testing%2F00%2E%20Integrated%20Releases%2F01%2D%20Integrated%20Release%201%2E0%2F02%2E%20UAT%2F03%2E%20Performance%20Testing%2FUnified%20CRM%2D%20Performance%20Test%2FField%20Services&amp;viewid=7c6b97d2%2De29a%2D4b27%2D98e7%2D3f5d5bd11dff&amp;CT=1744734421771&amp;OR=OWA%2DNT%2DMail&amp;CID=fdad4da5%2D3ad1%2D9d3f%2Ddbc8%2Ddc1163ee8893&amp;e=5%3A114072a8299643868b1c4fc0e1a4594b&amp;sharingv2=true&amp;fromShare=true&amp;at=9&amp;FolderCTID=0x012000D735ADCC1E28D24684C83D05ABBC84C7" TargetMode="External"/><Relationship Id="rId6" Type="http://schemas.openxmlformats.org/officeDocument/2006/relationships/hyperlink" Target="https://jira.nexteraenergy.com/browse/SFFIELD-3797%20%20%20%20(CLOSED)" TargetMode="External"/><Relationship Id="rId5" Type="http://schemas.openxmlformats.org/officeDocument/2006/relationships/hyperlink" Target="https://jira.nexteraenergy.com/browse/SFFIELD-3795" TargetMode="External"/><Relationship Id="rId4" Type="http://schemas.openxmlformats.org/officeDocument/2006/relationships/hyperlink" Target="https://jira.nexteraenergy.com/browse/SFFIELD-3709"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confluence.nexteraenergy.com/display/MULESFTINT/Performance+Test+Results+%3A+AccountMaintenance-papi?preview=/610765166/610765213/validate-Phone.pdf" TargetMode="External"/><Relationship Id="rId2" Type="http://schemas.openxmlformats.org/officeDocument/2006/relationships/hyperlink" Target="https://confluence.nexteraenergy.com/display/MULESFTINT/Performance+Test+Results%3A+account360+and+getAlerts?preview=/604966771/604972134/getAlerts.pdf" TargetMode="External"/><Relationship Id="rId1" Type="http://schemas.openxmlformats.org/officeDocument/2006/relationships/hyperlink" Target="https://confluence.nexteraenergy.com/display/MULESFTINT/Performance+Test+Results%3A+account360+and+getAlerts?preview=/604966771/604972120/account360.pdf" TargetMode="External"/><Relationship Id="rId6" Type="http://schemas.openxmlformats.org/officeDocument/2006/relationships/hyperlink" Target="https://confluence.nexteraenergy.com/pages/viewpage.action?pageId=610763872&amp;preview=/610763872/610763899/postCorresspondance-utility-papi-2400-user.pdf" TargetMode="External"/><Relationship Id="rId5" Type="http://schemas.openxmlformats.org/officeDocument/2006/relationships/hyperlink" Target="https://confluence.nexteraenergy.com/display/MULESFTINT/Performance+Test+Results+%3A+AccountMaintenance-papi?preview=/610765166/610765184/validateAddress-papi.pdf" TargetMode="External"/><Relationship Id="rId4" Type="http://schemas.openxmlformats.org/officeDocument/2006/relationships/hyperlink" Target="https://confluence.nexteraenergy.com/display/MULESFTINT/Performance+Test+Results+%3A+AccountMaintenance-papi?preview=/610765166/610768760/validate-email.pdf"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jira.nexteraenergy.com/browse/SFFIELD-3795" TargetMode="External"/><Relationship Id="rId2" Type="http://schemas.openxmlformats.org/officeDocument/2006/relationships/hyperlink" Target="https://jira.nexteraenergy.com/browse/SFFIELD-3797" TargetMode="External"/><Relationship Id="rId1" Type="http://schemas.openxmlformats.org/officeDocument/2006/relationships/hyperlink" Target="https://jira.nexteraenergy.com/browse/SFFIELD-3709"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x:/r/teams/EXT_CIStoSAP/_layouts/15/Doc.aspx?sourcedoc=%7B9F5D07F3-9032-4076-8050-2683F194CD84%7D&amp;file=BB.csv&amp;action=default&amp;mobileredirect=true" TargetMode="External"/><Relationship Id="rId13" Type="http://schemas.openxmlformats.org/officeDocument/2006/relationships/hyperlink" Target="https://jira.nexteraenergy.com/browse/CRAID-2844" TargetMode="External"/><Relationship Id="rId3" Type="http://schemas.openxmlformats.org/officeDocument/2006/relationships/hyperlink" Target="../../../../../../../../:x:/r/teams/EXT_CIStoSAP/_layouts/15/Doc.aspx?sourcedoc=%7B8E528CDB-3E94-4791-B741-003265B9C67B%7D&amp;file=Acc_main_res_customerid.csv&amp;action=default&amp;mobileredirect=true" TargetMode="External"/><Relationship Id="rId7" Type="http://schemas.openxmlformats.org/officeDocument/2006/relationships/hyperlink" Target="../../../../../../../../:x:/r/teams/EXT_CIStoSAP/_layouts/15/Doc.aspx?sourcedoc=%7B8E4A4627-5DAB-446E-8A8F-AF3B8C5345AE%7D&amp;file=ebill.csv&amp;action=default&amp;mobileredirect=true" TargetMode="External"/><Relationship Id="rId12" Type="http://schemas.openxmlformats.org/officeDocument/2006/relationships/hyperlink" Target="https://jira.nexteraenergy.com/browse/CRAID-2844" TargetMode="External"/><Relationship Id="rId2" Type="http://schemas.openxmlformats.org/officeDocument/2006/relationships/hyperlink" Target="../../../../../Forms/AllItems.aspx?id=%2Fteams%2FEXT%5FCIStoSAP%2FShared%20Documents%2FOperational%20Readiness%20and%20Testing%2F00%2E%20Integrated%20Releases%2F01%2D%20Integrated%20Release%201%2E0%2F02%2E%20UAT%2F03%2E%20Performance%20Testing%2FUnified%20CRM%2D%20Performance%20Test%2FEmployee%20desktop&amp;viewid=7c6b97d2%2De29a%2D4b27%2D98e7%2D3f5d5bd11dff&amp;CT=1744734421771&amp;OR=OWA%2DNT%2DMail&amp;CID=fdad4da5%2D3ad1%2D9d3f%2Ddbc8%2Ddc1163ee8893&amp;e=5%3A114072a8299643868b1c4fc0e1a4594b&amp;sharingv2=true&amp;fromShare=true&amp;at=9&amp;FolderCTID=0x012000D735ADCC1E28D24684C83D05ABBC84C7" TargetMode="External"/><Relationship Id="rId1" Type="http://schemas.openxmlformats.org/officeDocument/2006/relationships/hyperlink" Target="../../../../../Forms/AllItems.aspx?id=%2Fteams%2FEXT%5FCIStoSAP%2FShared%20Documents%2FOperational%20Readiness%20and%20Testing%2F00%2E%20Integrated%20Releases%2F01%2D%20Integrated%20Release%201%2E0%2F02%2E%20UAT%2F03%2E%20Performance%20Testing%2FUnified%20CRM%2D%20Performance%20Test%2FEmployee%20desktop&amp;viewid=7c6b97d2%2De29a%2D4b27%2D98e7%2D3f5d5bd11dff&amp;CT=1744734421771&amp;OR=OWA%2DNT%2DMail&amp;CID=fdad4da5%2D3ad1%2D9d3f%2Ddbc8%2Ddc1163ee8893&amp;e=5%3A114072a8299643868b1c4fc0e1a4594b&amp;sharingv2=true&amp;fromShare=true&amp;at=9&amp;FolderCTID=0x012000D735ADCC1E28D24684C83D05ABBC84C7" TargetMode="External"/><Relationship Id="rId6" Type="http://schemas.openxmlformats.org/officeDocument/2006/relationships/hyperlink" Target="../../../../../../../../:x:/r/teams/EXT_CIStoSAP/_layouts/15/Doc.aspx?sourcedoc=%7B0DC2F9C1-B0CB-48D1-BCD4-5F0FF1784382%7D&amp;file=Moveout.csv&amp;action=default&amp;mobileredirect=true" TargetMode="External"/><Relationship Id="rId11" Type="http://schemas.openxmlformats.org/officeDocument/2006/relationships/hyperlink" Target="https://jira.nexteraenergy.com/browse/CRAID-2844" TargetMode="External"/><Relationship Id="rId5" Type="http://schemas.openxmlformats.org/officeDocument/2006/relationships/hyperlink" Target="../../../../../../../../:x:/r/teams/EXT_CIStoSAP/_layouts/15/Doc.aspx?sourcedoc=%7B1828DC75-03D7-475F-ABFB-C8BCAD6814F3%7D&amp;file=Acc_Main_mailingaddress.csv&amp;action=default&amp;mobileredirect=true" TargetMode="External"/><Relationship Id="rId10" Type="http://schemas.openxmlformats.org/officeDocument/2006/relationships/hyperlink" Target="https://jira.nexteraenergy.com/browse/CRAID-2844" TargetMode="External"/><Relationship Id="rId4" Type="http://schemas.openxmlformats.org/officeDocument/2006/relationships/hyperlink" Target="../../../../../../../../:x:/r/teams/EXT_CIStoSAP/_layouts/15/Doc.aspx?sourcedoc=%7B83E92105-EAB9-4201-8E78-044B4EF64C7A%7D&amp;file=acc_main_phone_email.csv&amp;action=default&amp;mobileredirect=true" TargetMode="External"/><Relationship Id="rId9" Type="http://schemas.openxmlformats.org/officeDocument/2006/relationships/hyperlink" Target="../../../../../../../../:x:/r/teams/EXT_CIStoSAP/_layouts/15/Doc.aspx?sourcedoc=%7BC12D3315-C09E-43C4-A39A-BE1DB24953FE%7D&amp;file=ABP.csv&amp;action=default&amp;mobileredirect=true"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confluence.nexteraenergy.com/spaces/DEEXD/pages/769144412/AcctSum+-+Performance+Test+for+Account+Summary+Business+card" TargetMode="External"/><Relationship Id="rId3" Type="http://schemas.openxmlformats.org/officeDocument/2006/relationships/hyperlink" Target="https://confluence.nexteraenergy.com/display/DEEXD/Disconnect+Phase+2+-+Performance+Test+Results" TargetMode="External"/><Relationship Id="rId7" Type="http://schemas.openxmlformats.org/officeDocument/2006/relationships/hyperlink" Target="https://confluence.nexteraenergy.com/display/DEEXD/ABP+-+Performance+Test+Results" TargetMode="External"/><Relationship Id="rId2" Type="http://schemas.openxmlformats.org/officeDocument/2006/relationships/hyperlink" Target="https://confluence.nexteraenergy.com/display/DEE/SO+MangeOrd+-+Performance+Test+for+APPL-FEATURE" TargetMode="External"/><Relationship Id="rId1" Type="http://schemas.openxmlformats.org/officeDocument/2006/relationships/hyperlink" Target="https://confluence.nexteraenergy.com/display/DEEXD/Ebill+Phase+2+-+Performance+Test+Results" TargetMode="External"/><Relationship Id="rId6" Type="http://schemas.openxmlformats.org/officeDocument/2006/relationships/hyperlink" Target="https://confluence.nexteraenergy.com/download/attachments/536218630/Performance%20testing%20Account%20Maintenance-%20Team%20Visionaries.eml?version=1&amp;modificationDate=1744746009000&amp;api=v2" TargetMode="External"/><Relationship Id="rId5" Type="http://schemas.openxmlformats.org/officeDocument/2006/relationships/hyperlink" Target="https://confluence.nexteraenergy.com/display/DEEXD/Performance+Testing+Details+-+AcctSet+-+IR+1" TargetMode="External"/><Relationship Id="rId10" Type="http://schemas.openxmlformats.org/officeDocument/2006/relationships/hyperlink" Target="https://confluence.nexteraenergy.com/spaces/DEEXD/pages/730152153/AcctSum+-+Performance+Test+for+Account+Summary" TargetMode="External"/><Relationship Id="rId4" Type="http://schemas.openxmlformats.org/officeDocument/2006/relationships/hyperlink" Target="https://confluence.nexteraenergy.com/display/DEEXD/Budget+Billing+-+Performance+Test+Results" TargetMode="External"/><Relationship Id="rId9" Type="http://schemas.openxmlformats.org/officeDocument/2006/relationships/hyperlink" Target="https://confluence.nexteraenergy.com/spaces/DEEXD/pages/730640818/SO+Multi+Disconnect+-+Performance+Test+Resul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D57"/>
  <sheetViews>
    <sheetView workbookViewId="0">
      <selection activeCell="A2" sqref="A2"/>
    </sheetView>
  </sheetViews>
  <sheetFormatPr defaultColWidth="9.140625" defaultRowHeight="15" customHeight="1"/>
  <cols>
    <col min="1" max="1" width="34.28515625" customWidth="1"/>
    <col min="2" max="2" width="51.42578125" customWidth="1"/>
    <col min="3" max="3" width="34.28515625" customWidth="1"/>
    <col min="4" max="4" width="23" customWidth="1"/>
    <col min="5" max="6" width="24.5703125" customWidth="1"/>
    <col min="7" max="7" width="25.140625" customWidth="1"/>
    <col min="8" max="8" width="23.7109375" customWidth="1"/>
    <col min="9" max="9" width="24.28515625" customWidth="1"/>
    <col min="10" max="10" width="21.85546875" customWidth="1"/>
    <col min="11" max="12" width="20.28515625" customWidth="1"/>
    <col min="13" max="13" width="20.7109375" customWidth="1"/>
    <col min="14" max="14" width="27" style="2" customWidth="1"/>
    <col min="15" max="15" width="38.42578125" style="2" customWidth="1"/>
    <col min="16" max="16" width="47.5703125" style="5" customWidth="1"/>
    <col min="17" max="17" width="109.42578125" customWidth="1"/>
    <col min="18" max="19" width="21" customWidth="1"/>
    <col min="20" max="20" width="22.140625" customWidth="1"/>
    <col min="21" max="21" width="21" customWidth="1"/>
    <col min="22" max="22" width="20.85546875" hidden="1" customWidth="1"/>
    <col min="23" max="23" width="68" hidden="1" customWidth="1"/>
  </cols>
  <sheetData>
    <row r="1" spans="1:30" s="8" customFormat="1" ht="31.5" customHeight="1">
      <c r="A1" s="27" t="s">
        <v>0</v>
      </c>
      <c r="B1" s="27" t="s">
        <v>1</v>
      </c>
      <c r="C1" s="27" t="s">
        <v>2</v>
      </c>
      <c r="D1" s="28" t="s">
        <v>3</v>
      </c>
      <c r="E1" s="27" t="s">
        <v>4</v>
      </c>
      <c r="F1" s="27" t="s">
        <v>5</v>
      </c>
      <c r="G1" s="27" t="s">
        <v>6</v>
      </c>
      <c r="H1" s="28" t="s">
        <v>7</v>
      </c>
      <c r="I1" s="27" t="s">
        <v>8</v>
      </c>
      <c r="J1" s="27" t="s">
        <v>9</v>
      </c>
      <c r="K1" s="27" t="s">
        <v>10</v>
      </c>
      <c r="L1" s="27" t="s">
        <v>11</v>
      </c>
      <c r="M1" s="27" t="s">
        <v>12</v>
      </c>
      <c r="N1" s="27" t="s">
        <v>13</v>
      </c>
      <c r="O1" s="49" t="s">
        <v>14</v>
      </c>
      <c r="P1" s="49" t="s">
        <v>15</v>
      </c>
      <c r="Q1" s="49" t="s">
        <v>16</v>
      </c>
    </row>
    <row r="2" spans="1:30" ht="67.5" customHeight="1">
      <c r="A2" s="29" t="s">
        <v>17</v>
      </c>
      <c r="B2" s="29" t="s">
        <v>18</v>
      </c>
      <c r="C2" s="29" t="s">
        <v>18</v>
      </c>
      <c r="D2" s="29">
        <v>6</v>
      </c>
      <c r="E2" s="29">
        <v>50</v>
      </c>
      <c r="F2" s="29">
        <v>6</v>
      </c>
      <c r="G2" s="29">
        <v>6</v>
      </c>
      <c r="H2" s="29">
        <v>6</v>
      </c>
      <c r="I2" s="29">
        <v>6</v>
      </c>
      <c r="J2" s="29">
        <f>G2-H2</f>
        <v>0</v>
      </c>
      <c r="K2" s="29">
        <f t="shared" ref="K2:K8" si="0">H2/G2*100</f>
        <v>100</v>
      </c>
      <c r="L2" s="29">
        <f>D2-H2</f>
        <v>0</v>
      </c>
      <c r="M2" s="39">
        <f>H2/D2*100</f>
        <v>100</v>
      </c>
      <c r="N2" s="39">
        <f>I2/H2*100</f>
        <v>100</v>
      </c>
      <c r="O2" s="5" t="s">
        <v>19</v>
      </c>
      <c r="P2" s="5" t="s">
        <v>20</v>
      </c>
      <c r="Q2" s="5" t="s">
        <v>21</v>
      </c>
    </row>
    <row r="3" spans="1:30" ht="30">
      <c r="A3" s="30" t="s">
        <v>22</v>
      </c>
      <c r="B3" s="30" t="s">
        <v>18</v>
      </c>
      <c r="C3" s="30" t="s">
        <v>18</v>
      </c>
      <c r="D3" s="30">
        <f>COUNTA('Case Management'!B3:B86)</f>
        <v>9</v>
      </c>
      <c r="E3" s="30">
        <v>36</v>
      </c>
      <c r="F3" s="30">
        <v>6</v>
      </c>
      <c r="G3" s="30">
        <v>6</v>
      </c>
      <c r="H3" s="30">
        <v>6</v>
      </c>
      <c r="I3" s="30">
        <v>6</v>
      </c>
      <c r="J3" s="31">
        <f t="shared" ref="J3:J8" si="1">G3-H3</f>
        <v>0</v>
      </c>
      <c r="K3" s="30">
        <f t="shared" si="0"/>
        <v>100</v>
      </c>
      <c r="L3" s="31">
        <f t="shared" ref="L3:L8" si="2">D3-H3</f>
        <v>3</v>
      </c>
      <c r="M3" s="39">
        <f t="shared" ref="M3:M7" si="3">H3/D3*100</f>
        <v>66.666666666666657</v>
      </c>
      <c r="N3" s="39">
        <f t="shared" ref="N3:N8" si="4">I3/H3*100</f>
        <v>100</v>
      </c>
      <c r="O3" s="5" t="s">
        <v>23</v>
      </c>
      <c r="P3" s="5" t="s">
        <v>24</v>
      </c>
      <c r="Q3" s="5" t="s">
        <v>25</v>
      </c>
    </row>
    <row r="4" spans="1:30" ht="45">
      <c r="A4" s="29" t="s">
        <v>26</v>
      </c>
      <c r="B4" s="29" t="s">
        <v>18</v>
      </c>
      <c r="C4" s="29" t="s">
        <v>18</v>
      </c>
      <c r="D4" s="29">
        <f>COUNTA('CS Field Service'!B3:B58)</f>
        <v>8</v>
      </c>
      <c r="E4" s="29">
        <v>29</v>
      </c>
      <c r="F4" s="29">
        <v>5</v>
      </c>
      <c r="G4" s="29">
        <v>5</v>
      </c>
      <c r="H4" s="29">
        <v>5</v>
      </c>
      <c r="I4" s="29">
        <v>5</v>
      </c>
      <c r="J4" s="29">
        <f t="shared" si="1"/>
        <v>0</v>
      </c>
      <c r="K4" s="29">
        <f t="shared" si="0"/>
        <v>100</v>
      </c>
      <c r="L4" s="29">
        <f t="shared" si="2"/>
        <v>3</v>
      </c>
      <c r="M4" s="39">
        <f t="shared" si="3"/>
        <v>62.5</v>
      </c>
      <c r="N4" s="39">
        <f t="shared" si="4"/>
        <v>100</v>
      </c>
      <c r="O4" s="5" t="s">
        <v>23</v>
      </c>
      <c r="P4" s="5" t="s">
        <v>27</v>
      </c>
      <c r="Q4" s="5" t="s">
        <v>28</v>
      </c>
    </row>
    <row r="5" spans="1:30" ht="45">
      <c r="A5" s="31" t="s">
        <v>29</v>
      </c>
      <c r="B5" s="31" t="s">
        <v>18</v>
      </c>
      <c r="C5" s="31" t="s">
        <v>18</v>
      </c>
      <c r="D5" s="31">
        <v>9</v>
      </c>
      <c r="E5" s="31">
        <v>72</v>
      </c>
      <c r="F5" s="31">
        <v>9</v>
      </c>
      <c r="G5" s="31">
        <v>9</v>
      </c>
      <c r="H5" s="31">
        <v>9</v>
      </c>
      <c r="I5" s="31">
        <v>9</v>
      </c>
      <c r="J5" s="31">
        <f t="shared" si="1"/>
        <v>0</v>
      </c>
      <c r="K5" s="113">
        <f t="shared" si="0"/>
        <v>100</v>
      </c>
      <c r="L5" s="31">
        <f t="shared" si="2"/>
        <v>0</v>
      </c>
      <c r="M5" s="122">
        <f t="shared" si="3"/>
        <v>100</v>
      </c>
      <c r="N5" s="39">
        <f t="shared" si="4"/>
        <v>100</v>
      </c>
      <c r="O5" s="5" t="s">
        <v>23</v>
      </c>
      <c r="P5" s="5" t="s">
        <v>24</v>
      </c>
      <c r="Q5" s="5" t="s">
        <v>30</v>
      </c>
    </row>
    <row r="6" spans="1:30" ht="30">
      <c r="A6" s="29" t="s">
        <v>31</v>
      </c>
      <c r="B6" s="29" t="s">
        <v>18</v>
      </c>
      <c r="C6" s="29" t="s">
        <v>18</v>
      </c>
      <c r="D6" s="29">
        <f>COUNTA('Integrations Mulesfot'!A3:A106)</f>
        <v>5</v>
      </c>
      <c r="E6" s="29">
        <v>16</v>
      </c>
      <c r="F6" s="29">
        <v>5</v>
      </c>
      <c r="G6" s="29">
        <v>5</v>
      </c>
      <c r="H6" s="29">
        <v>5</v>
      </c>
      <c r="I6" s="29">
        <v>5</v>
      </c>
      <c r="J6" s="29">
        <f t="shared" si="1"/>
        <v>0</v>
      </c>
      <c r="K6" s="29">
        <f t="shared" si="0"/>
        <v>100</v>
      </c>
      <c r="L6" s="29">
        <f t="shared" si="2"/>
        <v>0</v>
      </c>
      <c r="M6" s="39">
        <f t="shared" si="3"/>
        <v>100</v>
      </c>
      <c r="N6" s="39">
        <f t="shared" si="4"/>
        <v>100</v>
      </c>
      <c r="O6" s="5" t="s">
        <v>23</v>
      </c>
      <c r="P6" s="5" t="s">
        <v>32</v>
      </c>
      <c r="Q6" t="s">
        <v>33</v>
      </c>
    </row>
    <row r="7" spans="1:30" s="25" customFormat="1" ht="30">
      <c r="A7" s="31" t="s">
        <v>34</v>
      </c>
      <c r="B7" s="31" t="s">
        <v>18</v>
      </c>
      <c r="C7" s="31" t="s">
        <v>18</v>
      </c>
      <c r="D7" s="31">
        <f>COUNTA('Web Optimization &amp; Mobile'!B3:B84)</f>
        <v>8</v>
      </c>
      <c r="E7" s="31">
        <v>11</v>
      </c>
      <c r="F7" s="31">
        <v>4</v>
      </c>
      <c r="G7" s="31">
        <v>4</v>
      </c>
      <c r="H7" s="31">
        <v>4</v>
      </c>
      <c r="I7" s="31">
        <v>4</v>
      </c>
      <c r="J7" s="31">
        <f t="shared" si="1"/>
        <v>0</v>
      </c>
      <c r="K7" s="50">
        <f t="shared" si="0"/>
        <v>100</v>
      </c>
      <c r="L7" s="31">
        <f t="shared" si="2"/>
        <v>4</v>
      </c>
      <c r="M7" s="39">
        <f t="shared" si="3"/>
        <v>50</v>
      </c>
      <c r="N7" s="39">
        <f t="shared" si="4"/>
        <v>100</v>
      </c>
      <c r="O7" t="s">
        <v>35</v>
      </c>
      <c r="P7" s="5" t="s">
        <v>36</v>
      </c>
      <c r="Q7" s="5" t="s">
        <v>37</v>
      </c>
      <c r="R7"/>
      <c r="S7"/>
      <c r="T7"/>
      <c r="U7"/>
      <c r="V7"/>
      <c r="W7"/>
      <c r="X7"/>
      <c r="Y7"/>
      <c r="Z7"/>
      <c r="AA7"/>
      <c r="AB7"/>
      <c r="AC7"/>
      <c r="AD7"/>
    </row>
    <row r="8" spans="1:30" s="25" customFormat="1">
      <c r="A8" s="35" t="s">
        <v>38</v>
      </c>
      <c r="B8" s="35"/>
      <c r="C8" s="35"/>
      <c r="D8" s="35">
        <f t="shared" ref="D8:I8" si="5">SUM(D2:D7)</f>
        <v>45</v>
      </c>
      <c r="E8" s="35">
        <f t="shared" si="5"/>
        <v>214</v>
      </c>
      <c r="F8" s="35">
        <f t="shared" si="5"/>
        <v>35</v>
      </c>
      <c r="G8" s="35">
        <f t="shared" si="5"/>
        <v>35</v>
      </c>
      <c r="H8" s="35">
        <f t="shared" si="5"/>
        <v>35</v>
      </c>
      <c r="I8" s="35">
        <f t="shared" si="5"/>
        <v>35</v>
      </c>
      <c r="J8" s="35">
        <f t="shared" si="1"/>
        <v>0</v>
      </c>
      <c r="K8" s="178">
        <f t="shared" si="0"/>
        <v>100</v>
      </c>
      <c r="L8" s="35">
        <f t="shared" si="2"/>
        <v>10</v>
      </c>
      <c r="M8" s="95">
        <f>H8/D8*100</f>
        <v>77.777777777777786</v>
      </c>
      <c r="N8" s="179">
        <f t="shared" si="4"/>
        <v>100</v>
      </c>
      <c r="O8"/>
      <c r="P8" s="5"/>
      <c r="Q8"/>
      <c r="R8"/>
      <c r="S8"/>
      <c r="T8"/>
      <c r="U8"/>
      <c r="V8"/>
      <c r="W8"/>
      <c r="X8"/>
      <c r="Y8"/>
      <c r="Z8"/>
      <c r="AA8"/>
      <c r="AB8"/>
      <c r="AC8"/>
      <c r="AD8"/>
    </row>
    <row r="9" spans="1:30" ht="15" customHeight="1">
      <c r="N9"/>
      <c r="O9"/>
    </row>
    <row r="10" spans="1:30" ht="15" customHeight="1">
      <c r="N10"/>
      <c r="O10"/>
    </row>
    <row r="12" spans="1:30" ht="15" customHeight="1">
      <c r="A12" s="19" t="s">
        <v>39</v>
      </c>
      <c r="B12" s="19"/>
      <c r="C12" s="19"/>
      <c r="D12" s="19"/>
      <c r="E12" s="19"/>
      <c r="F12" s="19"/>
      <c r="G12" s="19"/>
      <c r="H12" s="19"/>
      <c r="I12" s="19"/>
      <c r="J12" s="19"/>
      <c r="K12" s="19"/>
      <c r="L12" s="19"/>
      <c r="M12" s="19"/>
    </row>
    <row r="13" spans="1:30" ht="45.75" customHeight="1">
      <c r="A13" s="27" t="s">
        <v>0</v>
      </c>
      <c r="B13" s="27"/>
      <c r="C13" s="27"/>
      <c r="D13" s="33" t="s">
        <v>40</v>
      </c>
      <c r="E13" s="33" t="s">
        <v>41</v>
      </c>
      <c r="F13" s="33" t="s">
        <v>42</v>
      </c>
      <c r="G13" s="33" t="s">
        <v>43</v>
      </c>
      <c r="H13" s="33" t="s">
        <v>44</v>
      </c>
      <c r="I13" s="33" t="s">
        <v>45</v>
      </c>
    </row>
    <row r="14" spans="1:30" ht="15" customHeight="1">
      <c r="A14" s="29" t="s">
        <v>17</v>
      </c>
      <c r="B14" s="29"/>
      <c r="C14" s="29"/>
      <c r="D14" s="34">
        <v>6</v>
      </c>
      <c r="E14" s="34"/>
      <c r="F14" s="29"/>
      <c r="G14" s="29"/>
      <c r="H14" s="29"/>
      <c r="I14" s="35">
        <f t="shared" ref="I14:I21" si="6">SUM(D14:H14)</f>
        <v>6</v>
      </c>
      <c r="O14" s="38"/>
    </row>
    <row r="15" spans="1:30" ht="15" customHeight="1">
      <c r="A15" s="30" t="s">
        <v>22</v>
      </c>
      <c r="B15" s="30"/>
      <c r="C15" s="30"/>
      <c r="D15" s="36"/>
      <c r="E15" s="36">
        <v>6</v>
      </c>
      <c r="F15" s="30"/>
      <c r="G15" s="30"/>
      <c r="H15" s="30"/>
      <c r="I15" s="32">
        <f t="shared" si="6"/>
        <v>6</v>
      </c>
    </row>
    <row r="16" spans="1:30" ht="15" customHeight="1">
      <c r="A16" s="29" t="s">
        <v>26</v>
      </c>
      <c r="B16" s="29"/>
      <c r="C16" s="29"/>
      <c r="D16" s="34"/>
      <c r="E16" s="34"/>
      <c r="F16" s="29"/>
      <c r="G16" s="29">
        <v>3</v>
      </c>
      <c r="H16" s="29">
        <v>2</v>
      </c>
      <c r="I16" s="35">
        <f t="shared" si="6"/>
        <v>5</v>
      </c>
    </row>
    <row r="17" spans="1:13" ht="15" customHeight="1">
      <c r="A17" s="31" t="s">
        <v>29</v>
      </c>
      <c r="B17" s="31"/>
      <c r="C17" s="31"/>
      <c r="D17" s="48"/>
      <c r="E17" s="48"/>
      <c r="F17" s="31"/>
      <c r="G17" s="31">
        <v>7</v>
      </c>
      <c r="H17" s="31">
        <v>2</v>
      </c>
      <c r="I17" s="37">
        <f t="shared" si="6"/>
        <v>9</v>
      </c>
    </row>
    <row r="18" spans="1:13" ht="15" customHeight="1">
      <c r="A18" s="29" t="s">
        <v>31</v>
      </c>
      <c r="B18" s="29"/>
      <c r="C18" s="29"/>
      <c r="D18" s="34">
        <v>5</v>
      </c>
      <c r="E18" s="34"/>
      <c r="F18" s="29"/>
      <c r="G18" s="29"/>
      <c r="H18" s="29"/>
      <c r="I18" s="35">
        <f t="shared" si="6"/>
        <v>5</v>
      </c>
    </row>
    <row r="19" spans="1:13" ht="15" hidden="1" customHeight="1">
      <c r="A19" s="29" t="s">
        <v>46</v>
      </c>
      <c r="B19" s="29"/>
      <c r="C19" s="29"/>
      <c r="D19" s="34"/>
      <c r="E19" s="34"/>
      <c r="F19" s="29"/>
      <c r="G19" s="29"/>
      <c r="H19" s="29"/>
      <c r="I19" s="35">
        <f t="shared" si="6"/>
        <v>0</v>
      </c>
    </row>
    <row r="20" spans="1:13" ht="15" customHeight="1">
      <c r="A20" s="31" t="s">
        <v>34</v>
      </c>
      <c r="B20" s="31"/>
      <c r="C20" s="31"/>
      <c r="D20" s="48"/>
      <c r="E20" s="48"/>
      <c r="F20" s="31"/>
      <c r="G20" s="31">
        <v>1</v>
      </c>
      <c r="H20" s="31">
        <v>3</v>
      </c>
      <c r="I20" s="37">
        <f t="shared" si="6"/>
        <v>4</v>
      </c>
    </row>
    <row r="21" spans="1:13" ht="15" customHeight="1">
      <c r="A21" s="35" t="s">
        <v>38</v>
      </c>
      <c r="B21" s="35"/>
      <c r="C21" s="35"/>
      <c r="D21" s="47">
        <f>SUM(D14:D20)</f>
        <v>11</v>
      </c>
      <c r="E21" s="47">
        <f>SUM(E14:E20)</f>
        <v>6</v>
      </c>
      <c r="F21" s="47">
        <f>SUM(F14:F20)</f>
        <v>0</v>
      </c>
      <c r="G21" s="47">
        <f>SUM(G14:G20)</f>
        <v>11</v>
      </c>
      <c r="H21" s="47">
        <f>SUM(H14:H20)</f>
        <v>7</v>
      </c>
      <c r="I21" s="35">
        <f t="shared" si="6"/>
        <v>35</v>
      </c>
    </row>
    <row r="23" spans="1:13" s="8" customFormat="1" ht="27" customHeight="1">
      <c r="A23" s="27" t="s">
        <v>0</v>
      </c>
      <c r="B23" s="28" t="s">
        <v>3</v>
      </c>
      <c r="C23" s="27" t="s">
        <v>6</v>
      </c>
      <c r="D23" s="28" t="s">
        <v>7</v>
      </c>
      <c r="E23" s="27" t="s">
        <v>8</v>
      </c>
      <c r="F23" s="27" t="s">
        <v>9</v>
      </c>
      <c r="G23" s="27" t="s">
        <v>10</v>
      </c>
      <c r="H23" s="27" t="s">
        <v>11</v>
      </c>
      <c r="I23" s="27" t="s">
        <v>12</v>
      </c>
      <c r="J23" s="27" t="s">
        <v>13</v>
      </c>
      <c r="K23" s="49" t="s">
        <v>14</v>
      </c>
      <c r="L23" s="49" t="s">
        <v>15</v>
      </c>
      <c r="M23" s="49" t="s">
        <v>16</v>
      </c>
    </row>
    <row r="24" spans="1:13" ht="27" customHeight="1">
      <c r="A24" s="29" t="s">
        <v>47</v>
      </c>
      <c r="B24" s="29">
        <v>8</v>
      </c>
      <c r="C24" s="29"/>
      <c r="D24" s="29"/>
      <c r="E24" s="29"/>
      <c r="F24" s="29"/>
      <c r="G24" s="29"/>
      <c r="H24" s="29"/>
      <c r="I24" s="29"/>
      <c r="J24" s="29"/>
      <c r="K24" s="29"/>
      <c r="L24" s="29"/>
      <c r="M24" s="29"/>
    </row>
    <row r="25" spans="1:13" ht="26.25" customHeight="1">
      <c r="A25" s="30" t="s">
        <v>46</v>
      </c>
      <c r="B25" s="30">
        <v>4</v>
      </c>
      <c r="C25" s="30"/>
      <c r="D25" s="30"/>
      <c r="E25" s="30"/>
      <c r="F25" s="31"/>
      <c r="G25" s="30"/>
      <c r="H25" s="31"/>
      <c r="I25" s="31"/>
      <c r="J25" s="31"/>
      <c r="K25" s="31"/>
      <c r="L25" s="31"/>
      <c r="M25" s="31"/>
    </row>
    <row r="28" spans="1:13" ht="34.5" customHeight="1">
      <c r="A28" s="18" t="s">
        <v>0</v>
      </c>
      <c r="B28" s="20"/>
      <c r="C28" s="20"/>
      <c r="D28" s="23" t="s">
        <v>1</v>
      </c>
      <c r="E28" s="23" t="s">
        <v>1</v>
      </c>
      <c r="F28" s="23" t="s">
        <v>48</v>
      </c>
      <c r="G28" s="23" t="s">
        <v>49</v>
      </c>
      <c r="H28" s="21" t="s">
        <v>50</v>
      </c>
      <c r="I28" s="21" t="s">
        <v>4</v>
      </c>
      <c r="J28" s="2"/>
      <c r="K28" s="2"/>
      <c r="L28" s="2"/>
      <c r="M28" s="2"/>
    </row>
    <row r="29" spans="1:13" ht="15" hidden="1" customHeight="1">
      <c r="A29" s="24" t="s">
        <v>17</v>
      </c>
      <c r="B29" s="26"/>
      <c r="C29" s="26"/>
      <c r="D29" s="22" t="s">
        <v>18</v>
      </c>
      <c r="E29" s="22" t="s">
        <v>18</v>
      </c>
      <c r="F29" s="22" t="s">
        <v>18</v>
      </c>
      <c r="G29" s="22" t="s">
        <v>51</v>
      </c>
      <c r="H29" s="17">
        <f>COUNTA('Architecture (UCDP)'!A78:A176)</f>
        <v>0</v>
      </c>
      <c r="I29" s="17">
        <v>50</v>
      </c>
      <c r="J29" s="2"/>
      <c r="K29" s="2"/>
      <c r="L29" s="2"/>
      <c r="M29" s="2"/>
    </row>
    <row r="30" spans="1:13" ht="15" hidden="1" customHeight="1">
      <c r="A30" s="24" t="s">
        <v>22</v>
      </c>
      <c r="B30" s="26"/>
      <c r="C30" s="26"/>
      <c r="D30" s="22" t="s">
        <v>18</v>
      </c>
      <c r="E30" s="22" t="s">
        <v>18</v>
      </c>
      <c r="F30" s="22" t="s">
        <v>18</v>
      </c>
      <c r="G30" s="16" t="s">
        <v>52</v>
      </c>
      <c r="H30" s="7">
        <f>COUNTA('Case Management'!B26:B119)</f>
        <v>7</v>
      </c>
      <c r="I30" s="7">
        <v>36</v>
      </c>
      <c r="J30" s="2"/>
      <c r="K30" s="2"/>
      <c r="L30" s="2"/>
      <c r="M30" s="2"/>
    </row>
    <row r="31" spans="1:13" ht="15" hidden="1" customHeight="1">
      <c r="A31" s="24" t="s">
        <v>53</v>
      </c>
      <c r="B31" s="26"/>
      <c r="C31" s="26"/>
      <c r="D31" s="22" t="s">
        <v>18</v>
      </c>
      <c r="E31" s="22" t="s">
        <v>18</v>
      </c>
      <c r="F31" s="22" t="s">
        <v>18</v>
      </c>
      <c r="G31" s="22" t="s">
        <v>54</v>
      </c>
      <c r="H31" s="7">
        <v>8</v>
      </c>
      <c r="I31" s="7">
        <f>COUNTA('Convo AI (IVR)'!B131:B228)</f>
        <v>42</v>
      </c>
      <c r="J31" s="2"/>
      <c r="K31" s="2"/>
      <c r="L31" s="2"/>
      <c r="M31" s="2"/>
    </row>
    <row r="32" spans="1:13" ht="15" hidden="1" customHeight="1">
      <c r="A32" s="24" t="s">
        <v>26</v>
      </c>
      <c r="B32" s="26"/>
      <c r="C32" s="26"/>
      <c r="D32" s="22" t="s">
        <v>18</v>
      </c>
      <c r="E32" s="22" t="s">
        <v>18</v>
      </c>
      <c r="F32" s="22" t="s">
        <v>18</v>
      </c>
      <c r="G32" s="16" t="s">
        <v>52</v>
      </c>
      <c r="H32" s="7">
        <f>COUNTA('CS Field Service'!B29:B94)</f>
        <v>11</v>
      </c>
      <c r="I32" s="7">
        <f>COUNTA('CS Field Service'!C29:C94)</f>
        <v>39</v>
      </c>
      <c r="J32" s="2"/>
      <c r="K32" s="2"/>
      <c r="L32" s="2"/>
      <c r="M32" s="2"/>
    </row>
    <row r="33" spans="1:13" ht="15" hidden="1" customHeight="1">
      <c r="A33" s="24" t="s">
        <v>55</v>
      </c>
      <c r="B33" s="26"/>
      <c r="C33" s="26"/>
      <c r="D33" s="22" t="s">
        <v>56</v>
      </c>
      <c r="E33" s="22" t="s">
        <v>56</v>
      </c>
      <c r="F33" s="22" t="s">
        <v>57</v>
      </c>
      <c r="G33" s="22" t="s">
        <v>56</v>
      </c>
      <c r="H33" s="7" t="s">
        <v>58</v>
      </c>
      <c r="I33" s="7" t="s">
        <v>58</v>
      </c>
      <c r="J33" s="2"/>
      <c r="K33" s="2"/>
      <c r="L33" s="2"/>
      <c r="M33" s="2"/>
    </row>
    <row r="34" spans="1:13" ht="15" hidden="1" customHeight="1">
      <c r="A34" s="24" t="s">
        <v>29</v>
      </c>
      <c r="B34" s="26"/>
      <c r="C34" s="26"/>
      <c r="D34" s="22" t="s">
        <v>18</v>
      </c>
      <c r="E34" s="22" t="s">
        <v>18</v>
      </c>
      <c r="F34" s="22" t="s">
        <v>18</v>
      </c>
      <c r="G34" s="16" t="s">
        <v>52</v>
      </c>
      <c r="H34" s="7">
        <f>COUNTA('Employee Desktop'!B33:B126)</f>
        <v>13</v>
      </c>
      <c r="I34" s="7">
        <f>COUNTA('Employee Desktop'!C33:C127)</f>
        <v>68</v>
      </c>
      <c r="J34" s="2"/>
      <c r="K34" s="2"/>
      <c r="L34" s="2"/>
      <c r="M34" s="2"/>
    </row>
    <row r="35" spans="1:13" ht="15" hidden="1" customHeight="1">
      <c r="A35" s="24" t="s">
        <v>31</v>
      </c>
      <c r="B35" s="26"/>
      <c r="C35" s="26"/>
      <c r="D35" s="22" t="s">
        <v>18</v>
      </c>
      <c r="E35" s="22" t="s">
        <v>18</v>
      </c>
      <c r="F35" s="22" t="s">
        <v>18</v>
      </c>
      <c r="G35" s="22" t="s">
        <v>59</v>
      </c>
      <c r="H35" s="7">
        <v>5</v>
      </c>
      <c r="I35" s="7">
        <f>COUNTA('Integrations Mulesfot'!B35:B139)</f>
        <v>0</v>
      </c>
      <c r="J35" s="2"/>
      <c r="K35" s="2"/>
      <c r="L35" s="2"/>
      <c r="M35" s="2"/>
    </row>
    <row r="36" spans="1:13" ht="52.5" hidden="1" customHeight="1">
      <c r="A36" s="24" t="s">
        <v>60</v>
      </c>
      <c r="B36" s="26"/>
      <c r="C36" s="26"/>
      <c r="D36" s="22" t="s">
        <v>56</v>
      </c>
      <c r="E36" s="22" t="s">
        <v>56</v>
      </c>
      <c r="F36" s="40" t="s">
        <v>61</v>
      </c>
      <c r="G36" s="22" t="s">
        <v>56</v>
      </c>
      <c r="H36" s="7" t="s">
        <v>58</v>
      </c>
      <c r="I36" s="7" t="s">
        <v>58</v>
      </c>
      <c r="J36" s="2"/>
      <c r="K36" s="2"/>
      <c r="L36" s="2"/>
      <c r="M36" s="2"/>
    </row>
    <row r="37" spans="1:13" ht="60" customHeight="1">
      <c r="A37" s="24" t="s">
        <v>62</v>
      </c>
      <c r="B37" s="26"/>
      <c r="C37" s="26"/>
      <c r="D37" s="22" t="s">
        <v>56</v>
      </c>
      <c r="E37" s="22" t="s">
        <v>58</v>
      </c>
      <c r="F37" s="40" t="s">
        <v>63</v>
      </c>
      <c r="G37" s="22" t="s">
        <v>58</v>
      </c>
      <c r="H37" s="7" t="s">
        <v>58</v>
      </c>
      <c r="I37" s="7" t="s">
        <v>58</v>
      </c>
      <c r="J37" s="2"/>
      <c r="K37" s="2"/>
      <c r="L37" s="2"/>
      <c r="M37" s="2"/>
    </row>
    <row r="38" spans="1:13" ht="15" customHeight="1">
      <c r="A38" s="24" t="s">
        <v>64</v>
      </c>
      <c r="B38" s="26"/>
      <c r="C38" s="26"/>
      <c r="D38" s="22" t="s">
        <v>58</v>
      </c>
      <c r="E38" s="22" t="s">
        <v>58</v>
      </c>
      <c r="F38" s="22" t="s">
        <v>58</v>
      </c>
      <c r="G38" s="22" t="s">
        <v>58</v>
      </c>
      <c r="H38" s="7" t="s">
        <v>58</v>
      </c>
      <c r="I38" s="7" t="s">
        <v>58</v>
      </c>
      <c r="J38" s="2"/>
      <c r="K38" s="2"/>
      <c r="L38" s="2"/>
      <c r="M38" s="2"/>
    </row>
    <row r="39" spans="1:13" ht="56.25" customHeight="1">
      <c r="A39" s="24" t="s">
        <v>65</v>
      </c>
      <c r="B39" s="26"/>
      <c r="C39" s="26"/>
      <c r="D39" s="22" t="s">
        <v>56</v>
      </c>
      <c r="E39" s="22" t="s">
        <v>56</v>
      </c>
      <c r="F39" s="40" t="s">
        <v>66</v>
      </c>
      <c r="G39" s="22" t="s">
        <v>56</v>
      </c>
      <c r="H39" s="7" t="s">
        <v>58</v>
      </c>
      <c r="I39" s="7" t="s">
        <v>58</v>
      </c>
      <c r="J39" s="2"/>
      <c r="K39" s="2"/>
      <c r="L39" s="2"/>
      <c r="M39" s="2"/>
    </row>
    <row r="40" spans="1:13" ht="35.25" customHeight="1">
      <c r="A40" s="24" t="s">
        <v>67</v>
      </c>
      <c r="B40" s="26"/>
      <c r="C40" s="26"/>
      <c r="D40" s="22" t="s">
        <v>56</v>
      </c>
      <c r="E40" s="22" t="s">
        <v>56</v>
      </c>
      <c r="F40" s="40" t="s">
        <v>68</v>
      </c>
      <c r="G40" s="22" t="s">
        <v>56</v>
      </c>
      <c r="H40" s="7" t="s">
        <v>58</v>
      </c>
      <c r="I40" s="7" t="s">
        <v>58</v>
      </c>
      <c r="J40" s="2"/>
      <c r="K40" s="2"/>
      <c r="L40" s="2"/>
      <c r="M40" s="2"/>
    </row>
    <row r="41" spans="1:13" ht="15" customHeight="1">
      <c r="A41" s="24" t="s">
        <v>46</v>
      </c>
      <c r="B41" s="26"/>
      <c r="C41" s="26"/>
      <c r="D41" s="22" t="s">
        <v>18</v>
      </c>
      <c r="E41" s="22" t="s">
        <v>18</v>
      </c>
      <c r="F41" s="22" t="s">
        <v>18</v>
      </c>
      <c r="G41" s="22" t="s">
        <v>54</v>
      </c>
      <c r="H41" s="7">
        <v>4</v>
      </c>
      <c r="I41" s="7">
        <v>27</v>
      </c>
      <c r="J41" s="2"/>
      <c r="K41" s="2"/>
      <c r="L41" s="2"/>
      <c r="M41" s="2"/>
    </row>
    <row r="42" spans="1:13" ht="15" customHeight="1">
      <c r="A42" s="24" t="s">
        <v>34</v>
      </c>
      <c r="B42" s="26"/>
      <c r="C42" s="26"/>
      <c r="D42" s="22" t="s">
        <v>18</v>
      </c>
      <c r="E42" s="22" t="s">
        <v>18</v>
      </c>
      <c r="F42" s="22" t="s">
        <v>18</v>
      </c>
      <c r="G42" s="41" t="s">
        <v>69</v>
      </c>
      <c r="H42" s="7">
        <f>COUNTA(Telephony!A37:A153)</f>
        <v>0</v>
      </c>
      <c r="I42" s="7">
        <f>COUNTA(Telephony!B37:B126)</f>
        <v>0</v>
      </c>
      <c r="J42" s="2"/>
      <c r="K42" s="2"/>
      <c r="L42" s="2"/>
      <c r="M42" s="2"/>
    </row>
    <row r="46" spans="1:13" ht="32.25" customHeight="1"/>
    <row r="50" spans="1:2" ht="15" customHeight="1">
      <c r="A50" s="332" t="s">
        <v>0</v>
      </c>
      <c r="B50" s="332" t="s">
        <v>70</v>
      </c>
    </row>
    <row r="51" spans="1:2" ht="33.75" customHeight="1">
      <c r="A51" s="45" t="s">
        <v>17</v>
      </c>
      <c r="B51" s="331" t="s">
        <v>71</v>
      </c>
    </row>
    <row r="52" spans="1:2" ht="15" customHeight="1">
      <c r="A52" s="45" t="s">
        <v>47</v>
      </c>
      <c r="B52" s="45" t="s">
        <v>72</v>
      </c>
    </row>
    <row r="53" spans="1:2" ht="15" customHeight="1">
      <c r="A53" s="45" t="s">
        <v>22</v>
      </c>
      <c r="B53" s="45" t="s">
        <v>73</v>
      </c>
    </row>
    <row r="54" spans="1:2" ht="15" customHeight="1">
      <c r="A54" s="45" t="s">
        <v>26</v>
      </c>
      <c r="B54" s="45" t="s">
        <v>73</v>
      </c>
    </row>
    <row r="55" spans="1:2" ht="15" customHeight="1">
      <c r="A55" s="45" t="s">
        <v>31</v>
      </c>
      <c r="B55" s="45" t="s">
        <v>74</v>
      </c>
    </row>
    <row r="56" spans="1:2" ht="15" customHeight="1">
      <c r="A56" s="45" t="s">
        <v>29</v>
      </c>
      <c r="B56" s="45" t="s">
        <v>73</v>
      </c>
    </row>
    <row r="57" spans="1:2" ht="15" customHeight="1">
      <c r="A57" s="45" t="s">
        <v>34</v>
      </c>
      <c r="B57" s="45"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982CB-D398-44D8-8765-E586BD567D22}">
  <sheetPr>
    <tabColor theme="8" tint="0.79998168889431442"/>
  </sheetPr>
  <dimension ref="A1:V62"/>
  <sheetViews>
    <sheetView topLeftCell="E1" workbookViewId="0">
      <selection activeCell="I3" sqref="I3:I5"/>
    </sheetView>
  </sheetViews>
  <sheetFormatPr defaultColWidth="9.140625" defaultRowHeight="15"/>
  <cols>
    <col min="1" max="1" width="57.7109375" style="3" customWidth="1"/>
    <col min="2" max="2" width="51.5703125" style="3" customWidth="1"/>
    <col min="3" max="3" width="26.5703125" style="133" customWidth="1"/>
    <col min="4" max="4" width="28.5703125" style="133" customWidth="1"/>
    <col min="5" max="5" width="28" style="133" customWidth="1"/>
    <col min="6" max="6" width="19.7109375" style="133" customWidth="1"/>
    <col min="7" max="7" width="21.5703125" style="3" customWidth="1"/>
    <col min="8" max="8" width="18.42578125" style="3" customWidth="1"/>
    <col min="9" max="9" width="20.85546875" style="3" customWidth="1"/>
    <col min="10" max="10" width="79.42578125" style="3" customWidth="1"/>
    <col min="11" max="22" width="19.7109375" style="133" customWidth="1"/>
    <col min="23" max="23" width="9.140625" style="3" bestFit="1" customWidth="1"/>
    <col min="24" max="16384" width="9.140625" style="3"/>
  </cols>
  <sheetData>
    <row r="1" spans="1:22" ht="18.75">
      <c r="K1" s="403" t="s">
        <v>75</v>
      </c>
      <c r="L1" s="404"/>
      <c r="M1" s="404"/>
      <c r="N1" s="405"/>
      <c r="O1" s="406" t="s">
        <v>76</v>
      </c>
      <c r="P1" s="407"/>
      <c r="Q1" s="407"/>
      <c r="R1" s="408"/>
      <c r="S1" s="409" t="s">
        <v>77</v>
      </c>
      <c r="T1" s="410"/>
    </row>
    <row r="2" spans="1:22" ht="42.75" customHeight="1">
      <c r="A2" s="4" t="s">
        <v>78</v>
      </c>
      <c r="B2" s="4" t="s">
        <v>79</v>
      </c>
      <c r="C2" s="131" t="s">
        <v>80</v>
      </c>
      <c r="D2" s="131" t="s">
        <v>81</v>
      </c>
      <c r="E2" s="131" t="s">
        <v>82</v>
      </c>
      <c r="F2" s="131" t="s">
        <v>83</v>
      </c>
      <c r="G2" s="4" t="s">
        <v>84</v>
      </c>
      <c r="H2" s="4" t="s">
        <v>85</v>
      </c>
      <c r="I2" s="4" t="s">
        <v>86</v>
      </c>
      <c r="J2" s="4" t="s">
        <v>87</v>
      </c>
      <c r="K2" s="131" t="s">
        <v>88</v>
      </c>
      <c r="L2" s="182" t="s">
        <v>89</v>
      </c>
      <c r="M2" s="182" t="s">
        <v>82</v>
      </c>
      <c r="N2" s="182" t="s">
        <v>83</v>
      </c>
      <c r="O2" s="131" t="s">
        <v>90</v>
      </c>
      <c r="P2" s="182" t="s">
        <v>89</v>
      </c>
      <c r="Q2" s="182" t="s">
        <v>82</v>
      </c>
      <c r="R2" s="182" t="s">
        <v>83</v>
      </c>
      <c r="S2" s="182" t="s">
        <v>82</v>
      </c>
      <c r="T2" s="182" t="s">
        <v>83</v>
      </c>
      <c r="U2" s="182" t="s">
        <v>91</v>
      </c>
      <c r="V2" s="182" t="s">
        <v>92</v>
      </c>
    </row>
    <row r="3" spans="1:22" ht="35.25" customHeight="1">
      <c r="A3" s="411" t="s">
        <v>93</v>
      </c>
      <c r="B3" s="416" t="s">
        <v>94</v>
      </c>
      <c r="C3" s="132" t="s">
        <v>95</v>
      </c>
      <c r="D3" s="132">
        <v>30429</v>
      </c>
      <c r="E3" s="148" t="s">
        <v>96</v>
      </c>
      <c r="F3" s="148" t="s">
        <v>97</v>
      </c>
      <c r="G3" s="448">
        <v>45706</v>
      </c>
      <c r="H3" s="451" t="s">
        <v>98</v>
      </c>
      <c r="I3" s="411" t="s">
        <v>71</v>
      </c>
      <c r="J3" s="438" t="s">
        <v>99</v>
      </c>
      <c r="K3" s="420" t="s">
        <v>100</v>
      </c>
      <c r="L3" s="421"/>
      <c r="M3" s="421"/>
      <c r="N3" s="422"/>
      <c r="O3" s="429" t="s">
        <v>101</v>
      </c>
      <c r="P3" s="430"/>
      <c r="Q3" s="430"/>
      <c r="R3" s="431"/>
      <c r="S3" s="181"/>
      <c r="T3" s="181"/>
      <c r="U3" s="181"/>
      <c r="V3" s="181"/>
    </row>
    <row r="4" spans="1:22" ht="27" customHeight="1">
      <c r="A4" s="412"/>
      <c r="B4" s="417"/>
      <c r="C4" s="132" t="s">
        <v>102</v>
      </c>
      <c r="D4" s="132">
        <v>77308</v>
      </c>
      <c r="E4" s="148" t="s">
        <v>103</v>
      </c>
      <c r="F4" s="148" t="s">
        <v>97</v>
      </c>
      <c r="G4" s="449"/>
      <c r="H4" s="452"/>
      <c r="I4" s="452"/>
      <c r="J4" s="439"/>
      <c r="K4" s="423"/>
      <c r="L4" s="424"/>
      <c r="M4" s="424"/>
      <c r="N4" s="425"/>
      <c r="O4" s="432"/>
      <c r="P4" s="433"/>
      <c r="Q4" s="433"/>
      <c r="R4" s="434"/>
      <c r="S4" s="181"/>
      <c r="T4" s="181"/>
      <c r="U4" s="181"/>
      <c r="V4" s="181"/>
    </row>
    <row r="5" spans="1:22" ht="30" customHeight="1">
      <c r="A5" s="413"/>
      <c r="B5" s="418"/>
      <c r="C5" s="132" t="s">
        <v>104</v>
      </c>
      <c r="D5" s="132">
        <v>100000</v>
      </c>
      <c r="E5" s="148" t="s">
        <v>105</v>
      </c>
      <c r="F5" s="148" t="s">
        <v>106</v>
      </c>
      <c r="G5" s="450"/>
      <c r="H5" s="453"/>
      <c r="I5" s="453"/>
      <c r="J5" s="439"/>
      <c r="K5" s="423"/>
      <c r="L5" s="424"/>
      <c r="M5" s="424"/>
      <c r="N5" s="425"/>
      <c r="O5" s="432"/>
      <c r="P5" s="433"/>
      <c r="Q5" s="433"/>
      <c r="R5" s="434"/>
      <c r="S5" s="181"/>
      <c r="T5" s="181"/>
      <c r="U5" s="181"/>
      <c r="V5" s="181"/>
    </row>
    <row r="6" spans="1:22" ht="21" customHeight="1">
      <c r="A6" s="411" t="s">
        <v>107</v>
      </c>
      <c r="B6" s="416" t="s">
        <v>94</v>
      </c>
      <c r="C6" s="132" t="s">
        <v>95</v>
      </c>
      <c r="D6" s="132">
        <v>42670</v>
      </c>
      <c r="E6" s="148" t="s">
        <v>108</v>
      </c>
      <c r="F6" s="148" t="s">
        <v>109</v>
      </c>
      <c r="G6" s="448">
        <v>45346</v>
      </c>
      <c r="H6" s="451" t="s">
        <v>98</v>
      </c>
      <c r="I6" s="411" t="s">
        <v>71</v>
      </c>
      <c r="J6" s="439" t="s">
        <v>110</v>
      </c>
      <c r="K6" s="423"/>
      <c r="L6" s="424"/>
      <c r="M6" s="424"/>
      <c r="N6" s="425"/>
      <c r="O6" s="432"/>
      <c r="P6" s="433"/>
      <c r="Q6" s="433"/>
      <c r="R6" s="434"/>
      <c r="S6" s="181"/>
      <c r="T6" s="181"/>
      <c r="U6" s="181"/>
      <c r="V6" s="181"/>
    </row>
    <row r="7" spans="1:22" ht="18" customHeight="1">
      <c r="A7" s="412"/>
      <c r="B7" s="417"/>
      <c r="C7" s="132" t="s">
        <v>102</v>
      </c>
      <c r="D7" s="132">
        <v>85943</v>
      </c>
      <c r="E7" s="148" t="s">
        <v>111</v>
      </c>
      <c r="F7" s="148" t="s">
        <v>112</v>
      </c>
      <c r="G7" s="449"/>
      <c r="H7" s="452"/>
      <c r="I7" s="412"/>
      <c r="J7" s="439"/>
      <c r="K7" s="423"/>
      <c r="L7" s="424"/>
      <c r="M7" s="424"/>
      <c r="N7" s="425"/>
      <c r="O7" s="432"/>
      <c r="P7" s="433"/>
      <c r="Q7" s="433"/>
      <c r="R7" s="434"/>
      <c r="S7" s="181"/>
      <c r="T7" s="181"/>
      <c r="U7" s="181"/>
      <c r="V7" s="181"/>
    </row>
    <row r="8" spans="1:22" ht="18.75" customHeight="1">
      <c r="A8" s="412"/>
      <c r="B8" s="417"/>
      <c r="C8" s="132" t="s">
        <v>113</v>
      </c>
      <c r="D8" s="132">
        <v>128358</v>
      </c>
      <c r="E8" s="148" t="s">
        <v>111</v>
      </c>
      <c r="F8" s="148" t="s">
        <v>114</v>
      </c>
      <c r="G8" s="449"/>
      <c r="H8" s="452"/>
      <c r="I8" s="412"/>
      <c r="J8" s="439"/>
      <c r="K8" s="423"/>
      <c r="L8" s="424"/>
      <c r="M8" s="424"/>
      <c r="N8" s="425"/>
      <c r="O8" s="432"/>
      <c r="P8" s="433"/>
      <c r="Q8" s="433"/>
      <c r="R8" s="434"/>
      <c r="S8" s="181"/>
      <c r="T8" s="181"/>
      <c r="U8" s="181"/>
      <c r="V8" s="181"/>
    </row>
    <row r="9" spans="1:22" ht="18" customHeight="1">
      <c r="A9" s="412"/>
      <c r="B9" s="417"/>
      <c r="C9" s="132" t="s">
        <v>115</v>
      </c>
      <c r="D9" s="132">
        <v>171181</v>
      </c>
      <c r="E9" s="148" t="s">
        <v>111</v>
      </c>
      <c r="F9" s="148" t="s">
        <v>112</v>
      </c>
      <c r="G9" s="449"/>
      <c r="H9" s="452"/>
      <c r="I9" s="412"/>
      <c r="J9" s="439"/>
      <c r="K9" s="423"/>
      <c r="L9" s="424"/>
      <c r="M9" s="424"/>
      <c r="N9" s="425"/>
      <c r="O9" s="432"/>
      <c r="P9" s="433"/>
      <c r="Q9" s="433"/>
      <c r="R9" s="434"/>
      <c r="S9" s="181"/>
      <c r="T9" s="181"/>
      <c r="U9" s="181"/>
      <c r="V9" s="181"/>
    </row>
    <row r="10" spans="1:22" ht="18" customHeight="1">
      <c r="A10" s="413"/>
      <c r="B10" s="418"/>
      <c r="C10" s="132" t="s">
        <v>116</v>
      </c>
      <c r="D10" s="132">
        <v>200000</v>
      </c>
      <c r="E10" s="148" t="s">
        <v>111</v>
      </c>
      <c r="F10" s="148" t="s">
        <v>112</v>
      </c>
      <c r="G10" s="450"/>
      <c r="H10" s="453"/>
      <c r="I10" s="413"/>
      <c r="J10" s="439"/>
      <c r="K10" s="423"/>
      <c r="L10" s="424"/>
      <c r="M10" s="424"/>
      <c r="N10" s="425"/>
      <c r="O10" s="432"/>
      <c r="P10" s="433"/>
      <c r="Q10" s="433"/>
      <c r="R10" s="434"/>
      <c r="S10" s="181"/>
      <c r="T10" s="181"/>
      <c r="U10" s="181"/>
      <c r="V10" s="181"/>
    </row>
    <row r="11" spans="1:22" ht="14.25" customHeight="1">
      <c r="A11" s="442" t="s">
        <v>117</v>
      </c>
      <c r="B11" s="444" t="s">
        <v>94</v>
      </c>
      <c r="C11" s="132" t="s">
        <v>118</v>
      </c>
      <c r="D11" s="132">
        <v>64029</v>
      </c>
      <c r="E11" s="148" t="s">
        <v>108</v>
      </c>
      <c r="F11" s="148" t="s">
        <v>119</v>
      </c>
      <c r="G11" s="448">
        <v>45346</v>
      </c>
      <c r="H11" s="451" t="s">
        <v>98</v>
      </c>
      <c r="I11" s="411" t="s">
        <v>71</v>
      </c>
      <c r="J11" s="419" t="s">
        <v>120</v>
      </c>
      <c r="K11" s="423"/>
      <c r="L11" s="424"/>
      <c r="M11" s="424"/>
      <c r="N11" s="425"/>
      <c r="O11" s="432"/>
      <c r="P11" s="433"/>
      <c r="Q11" s="433"/>
      <c r="R11" s="434"/>
      <c r="S11" s="181"/>
      <c r="T11" s="181"/>
      <c r="U11" s="181"/>
      <c r="V11" s="181"/>
    </row>
    <row r="12" spans="1:22">
      <c r="A12" s="443"/>
      <c r="B12" s="445"/>
      <c r="C12" s="132" t="s">
        <v>113</v>
      </c>
      <c r="D12" s="132">
        <v>128324</v>
      </c>
      <c r="E12" s="148" t="s">
        <v>108</v>
      </c>
      <c r="F12" s="148" t="s">
        <v>121</v>
      </c>
      <c r="G12" s="449"/>
      <c r="H12" s="452"/>
      <c r="I12" s="412"/>
      <c r="J12" s="419"/>
      <c r="K12" s="423"/>
      <c r="L12" s="424"/>
      <c r="M12" s="424"/>
      <c r="N12" s="425"/>
      <c r="O12" s="432"/>
      <c r="P12" s="433"/>
      <c r="Q12" s="433"/>
      <c r="R12" s="434"/>
      <c r="S12" s="181"/>
      <c r="T12" s="181"/>
      <c r="U12" s="181"/>
      <c r="V12" s="181"/>
    </row>
    <row r="13" spans="1:22">
      <c r="A13" s="443"/>
      <c r="B13" s="445"/>
      <c r="C13" s="132" t="s">
        <v>122</v>
      </c>
      <c r="D13" s="132">
        <v>193210</v>
      </c>
      <c r="E13" s="148" t="s">
        <v>108</v>
      </c>
      <c r="F13" s="148" t="s">
        <v>119</v>
      </c>
      <c r="G13" s="449"/>
      <c r="H13" s="452"/>
      <c r="I13" s="412"/>
      <c r="J13" s="419"/>
      <c r="K13" s="423"/>
      <c r="L13" s="424"/>
      <c r="M13" s="424"/>
      <c r="N13" s="425"/>
      <c r="O13" s="432"/>
      <c r="P13" s="433"/>
      <c r="Q13" s="433"/>
      <c r="R13" s="434"/>
      <c r="S13" s="181"/>
      <c r="T13" s="181"/>
      <c r="U13" s="181"/>
      <c r="V13" s="181"/>
    </row>
    <row r="14" spans="1:22">
      <c r="A14" s="443"/>
      <c r="B14" s="445"/>
      <c r="C14" s="132" t="s">
        <v>123</v>
      </c>
      <c r="D14" s="132">
        <v>256912</v>
      </c>
      <c r="E14" s="148" t="s">
        <v>108</v>
      </c>
      <c r="F14" s="148" t="s">
        <v>119</v>
      </c>
      <c r="G14" s="449"/>
      <c r="H14" s="452"/>
      <c r="I14" s="412"/>
      <c r="J14" s="419"/>
      <c r="K14" s="423"/>
      <c r="L14" s="424"/>
      <c r="M14" s="424"/>
      <c r="N14" s="425"/>
      <c r="O14" s="432"/>
      <c r="P14" s="433"/>
      <c r="Q14" s="433"/>
      <c r="R14" s="434"/>
      <c r="S14" s="181"/>
      <c r="T14" s="181"/>
      <c r="U14" s="181"/>
      <c r="V14" s="181"/>
    </row>
    <row r="15" spans="1:22">
      <c r="A15" s="443"/>
      <c r="B15" s="445"/>
      <c r="C15" s="132" t="s">
        <v>124</v>
      </c>
      <c r="D15" s="132">
        <v>321199</v>
      </c>
      <c r="E15" s="148" t="s">
        <v>108</v>
      </c>
      <c r="F15" s="148" t="s">
        <v>119</v>
      </c>
      <c r="G15" s="449"/>
      <c r="H15" s="452"/>
      <c r="I15" s="412"/>
      <c r="J15" s="419"/>
      <c r="K15" s="423"/>
      <c r="L15" s="424"/>
      <c r="M15" s="424"/>
      <c r="N15" s="425"/>
      <c r="O15" s="432"/>
      <c r="P15" s="433"/>
      <c r="Q15" s="433"/>
      <c r="R15" s="434"/>
      <c r="S15" s="181"/>
      <c r="T15" s="181"/>
      <c r="U15" s="181"/>
      <c r="V15" s="181"/>
    </row>
    <row r="16" spans="1:22">
      <c r="A16" s="443"/>
      <c r="B16" s="445"/>
      <c r="C16" s="132" t="s">
        <v>125</v>
      </c>
      <c r="D16" s="132">
        <v>385462</v>
      </c>
      <c r="E16" s="148" t="s">
        <v>108</v>
      </c>
      <c r="F16" s="148" t="s">
        <v>103</v>
      </c>
      <c r="G16" s="449"/>
      <c r="H16" s="452"/>
      <c r="I16" s="412"/>
      <c r="J16" s="419"/>
      <c r="K16" s="423"/>
      <c r="L16" s="424"/>
      <c r="M16" s="424"/>
      <c r="N16" s="425"/>
      <c r="O16" s="432"/>
      <c r="P16" s="433"/>
      <c r="Q16" s="433"/>
      <c r="R16" s="434"/>
      <c r="S16" s="181"/>
      <c r="T16" s="181"/>
      <c r="U16" s="181"/>
      <c r="V16" s="181"/>
    </row>
    <row r="17" spans="1:22">
      <c r="A17" s="443"/>
      <c r="B17" s="445"/>
      <c r="C17" s="132" t="s">
        <v>126</v>
      </c>
      <c r="D17" s="132">
        <v>449734</v>
      </c>
      <c r="E17" s="148" t="s">
        <v>108</v>
      </c>
      <c r="F17" s="148" t="s">
        <v>103</v>
      </c>
      <c r="G17" s="449"/>
      <c r="H17" s="452"/>
      <c r="I17" s="412"/>
      <c r="J17" s="419"/>
      <c r="K17" s="423"/>
      <c r="L17" s="424"/>
      <c r="M17" s="424"/>
      <c r="N17" s="425"/>
      <c r="O17" s="432"/>
      <c r="P17" s="433"/>
      <c r="Q17" s="433"/>
      <c r="R17" s="434"/>
      <c r="S17" s="181"/>
      <c r="T17" s="181"/>
      <c r="U17" s="181"/>
      <c r="V17" s="181"/>
    </row>
    <row r="18" spans="1:22">
      <c r="A18" s="443"/>
      <c r="B18" s="445"/>
      <c r="C18" s="132" t="s">
        <v>127</v>
      </c>
      <c r="D18" s="132">
        <v>514011</v>
      </c>
      <c r="E18" s="148" t="s">
        <v>108</v>
      </c>
      <c r="F18" s="148" t="s">
        <v>103</v>
      </c>
      <c r="G18" s="449"/>
      <c r="H18" s="452"/>
      <c r="I18" s="412"/>
      <c r="J18" s="419"/>
      <c r="K18" s="423"/>
      <c r="L18" s="424"/>
      <c r="M18" s="424"/>
      <c r="N18" s="425"/>
      <c r="O18" s="432"/>
      <c r="P18" s="433"/>
      <c r="Q18" s="433"/>
      <c r="R18" s="434"/>
      <c r="S18" s="181"/>
      <c r="T18" s="181"/>
      <c r="U18" s="181"/>
      <c r="V18" s="181"/>
    </row>
    <row r="19" spans="1:22">
      <c r="A19" s="443"/>
      <c r="B19" s="445"/>
      <c r="C19" s="132" t="s">
        <v>128</v>
      </c>
      <c r="D19" s="132">
        <v>578277</v>
      </c>
      <c r="E19" s="148" t="s">
        <v>108</v>
      </c>
      <c r="F19" s="148" t="s">
        <v>103</v>
      </c>
      <c r="G19" s="449"/>
      <c r="H19" s="452"/>
      <c r="I19" s="412"/>
      <c r="J19" s="419"/>
      <c r="K19" s="423"/>
      <c r="L19" s="424"/>
      <c r="M19" s="424"/>
      <c r="N19" s="425"/>
      <c r="O19" s="432"/>
      <c r="P19" s="433"/>
      <c r="Q19" s="433"/>
      <c r="R19" s="434"/>
      <c r="S19" s="181"/>
      <c r="T19" s="181"/>
      <c r="U19" s="181"/>
      <c r="V19" s="181"/>
    </row>
    <row r="20" spans="1:22">
      <c r="A20" s="443"/>
      <c r="B20" s="445"/>
      <c r="C20" s="132" t="s">
        <v>129</v>
      </c>
      <c r="D20" s="132">
        <v>642575</v>
      </c>
      <c r="E20" s="148" t="s">
        <v>108</v>
      </c>
      <c r="F20" s="148" t="s">
        <v>103</v>
      </c>
      <c r="G20" s="449"/>
      <c r="H20" s="452"/>
      <c r="I20" s="412"/>
      <c r="J20" s="419"/>
      <c r="K20" s="423"/>
      <c r="L20" s="424"/>
      <c r="M20" s="424"/>
      <c r="N20" s="425"/>
      <c r="O20" s="432"/>
      <c r="P20" s="433"/>
      <c r="Q20" s="433"/>
      <c r="R20" s="434"/>
      <c r="S20" s="181"/>
      <c r="T20" s="181"/>
      <c r="U20" s="181"/>
      <c r="V20" s="181"/>
    </row>
    <row r="21" spans="1:22">
      <c r="A21" s="443"/>
      <c r="B21" s="445"/>
      <c r="C21" s="45" t="s">
        <v>130</v>
      </c>
      <c r="D21" s="132">
        <v>706877</v>
      </c>
      <c r="E21" s="148" t="s">
        <v>108</v>
      </c>
      <c r="F21" s="148" t="s">
        <v>131</v>
      </c>
      <c r="G21" s="449"/>
      <c r="H21" s="452"/>
      <c r="I21" s="412"/>
      <c r="J21" s="419"/>
      <c r="K21" s="423"/>
      <c r="L21" s="424"/>
      <c r="M21" s="424"/>
      <c r="N21" s="425"/>
      <c r="O21" s="432"/>
      <c r="P21" s="433"/>
      <c r="Q21" s="433"/>
      <c r="R21" s="434"/>
      <c r="S21" s="181"/>
      <c r="T21" s="181"/>
      <c r="U21" s="181"/>
      <c r="V21" s="181"/>
    </row>
    <row r="22" spans="1:22">
      <c r="A22" s="443"/>
      <c r="B22" s="445"/>
      <c r="C22" s="132" t="s">
        <v>132</v>
      </c>
      <c r="D22" s="132">
        <v>771138</v>
      </c>
      <c r="E22" s="148" t="s">
        <v>108</v>
      </c>
      <c r="F22" s="148" t="s">
        <v>103</v>
      </c>
      <c r="G22" s="449"/>
      <c r="H22" s="452"/>
      <c r="I22" s="412"/>
      <c r="J22" s="419"/>
      <c r="K22" s="423"/>
      <c r="L22" s="424"/>
      <c r="M22" s="424"/>
      <c r="N22" s="425"/>
      <c r="O22" s="432"/>
      <c r="P22" s="433"/>
      <c r="Q22" s="433"/>
      <c r="R22" s="434"/>
      <c r="S22" s="181"/>
      <c r="T22" s="181"/>
      <c r="U22" s="181"/>
      <c r="V22" s="181"/>
    </row>
    <row r="23" spans="1:22">
      <c r="A23" s="443"/>
      <c r="B23" s="445"/>
      <c r="C23" s="132" t="s">
        <v>133</v>
      </c>
      <c r="D23" s="132">
        <v>835495</v>
      </c>
      <c r="E23" s="148" t="s">
        <v>108</v>
      </c>
      <c r="F23" s="148" t="s">
        <v>103</v>
      </c>
      <c r="G23" s="449"/>
      <c r="H23" s="452"/>
      <c r="I23" s="412"/>
      <c r="J23" s="419"/>
      <c r="K23" s="423"/>
      <c r="L23" s="424"/>
      <c r="M23" s="424"/>
      <c r="N23" s="425"/>
      <c r="O23" s="432"/>
      <c r="P23" s="433"/>
      <c r="Q23" s="433"/>
      <c r="R23" s="434"/>
      <c r="S23" s="181"/>
      <c r="T23" s="181"/>
      <c r="U23" s="181"/>
      <c r="V23" s="181"/>
    </row>
    <row r="24" spans="1:22">
      <c r="A24" s="443"/>
      <c r="B24" s="445"/>
      <c r="C24" s="132" t="s">
        <v>134</v>
      </c>
      <c r="D24" s="132">
        <v>899707</v>
      </c>
      <c r="E24" s="148" t="s">
        <v>135</v>
      </c>
      <c r="F24" s="148" t="s">
        <v>103</v>
      </c>
      <c r="G24" s="449"/>
      <c r="H24" s="452"/>
      <c r="I24" s="412"/>
      <c r="J24" s="419"/>
      <c r="K24" s="423"/>
      <c r="L24" s="424"/>
      <c r="M24" s="424"/>
      <c r="N24" s="425"/>
      <c r="O24" s="432"/>
      <c r="P24" s="433"/>
      <c r="Q24" s="433"/>
      <c r="R24" s="434"/>
      <c r="S24" s="181"/>
      <c r="T24" s="181"/>
      <c r="U24" s="181"/>
      <c r="V24" s="181"/>
    </row>
    <row r="25" spans="1:22">
      <c r="A25" s="443"/>
      <c r="B25" s="445"/>
      <c r="C25" s="132" t="s">
        <v>136</v>
      </c>
      <c r="D25" s="132">
        <v>964045</v>
      </c>
      <c r="E25" s="148" t="s">
        <v>135</v>
      </c>
      <c r="F25" s="148" t="s">
        <v>119</v>
      </c>
      <c r="G25" s="449"/>
      <c r="H25" s="452"/>
      <c r="I25" s="412"/>
      <c r="J25" s="419"/>
      <c r="K25" s="423"/>
      <c r="L25" s="424"/>
      <c r="M25" s="424"/>
      <c r="N25" s="425"/>
      <c r="O25" s="432"/>
      <c r="P25" s="433"/>
      <c r="Q25" s="433"/>
      <c r="R25" s="434"/>
      <c r="S25" s="181"/>
      <c r="T25" s="181"/>
      <c r="U25" s="181"/>
      <c r="V25" s="181"/>
    </row>
    <row r="26" spans="1:22">
      <c r="A26" s="443"/>
      <c r="B26" s="446"/>
      <c r="C26" s="132" t="s">
        <v>137</v>
      </c>
      <c r="D26" s="132">
        <v>1000000</v>
      </c>
      <c r="E26" s="148" t="s">
        <v>135</v>
      </c>
      <c r="F26" s="148" t="s">
        <v>119</v>
      </c>
      <c r="G26" s="450"/>
      <c r="H26" s="453"/>
      <c r="I26" s="413"/>
      <c r="J26" s="419"/>
      <c r="K26" s="423"/>
      <c r="L26" s="424"/>
      <c r="M26" s="424"/>
      <c r="N26" s="425"/>
      <c r="O26" s="432"/>
      <c r="P26" s="433"/>
      <c r="Q26" s="433"/>
      <c r="R26" s="434"/>
      <c r="S26" s="181"/>
      <c r="T26" s="181"/>
      <c r="U26" s="181"/>
      <c r="V26" s="181"/>
    </row>
    <row r="27" spans="1:22" ht="15" customHeight="1">
      <c r="A27" s="440" t="s">
        <v>138</v>
      </c>
      <c r="B27" s="411" t="s">
        <v>94</v>
      </c>
      <c r="C27" s="132" t="s">
        <v>102</v>
      </c>
      <c r="D27" s="132">
        <v>155582</v>
      </c>
      <c r="E27" s="148" t="s">
        <v>111</v>
      </c>
      <c r="F27" s="148" t="s">
        <v>96</v>
      </c>
      <c r="G27" s="448">
        <v>45719</v>
      </c>
      <c r="H27" s="451" t="s">
        <v>98</v>
      </c>
      <c r="I27" s="411" t="s">
        <v>71</v>
      </c>
      <c r="J27" s="419" t="s">
        <v>139</v>
      </c>
      <c r="K27" s="423"/>
      <c r="L27" s="424"/>
      <c r="M27" s="424"/>
      <c r="N27" s="425"/>
      <c r="O27" s="432"/>
      <c r="P27" s="433"/>
      <c r="Q27" s="433"/>
      <c r="R27" s="434"/>
      <c r="S27" s="181"/>
      <c r="T27" s="181"/>
      <c r="U27" s="181"/>
      <c r="V27" s="181"/>
    </row>
    <row r="28" spans="1:22">
      <c r="A28" s="440"/>
      <c r="B28" s="412"/>
      <c r="C28" s="132" t="s">
        <v>115</v>
      </c>
      <c r="D28" s="132">
        <v>311542</v>
      </c>
      <c r="E28" s="148" t="s">
        <v>108</v>
      </c>
      <c r="F28" s="148" t="s">
        <v>140</v>
      </c>
      <c r="G28" s="449"/>
      <c r="H28" s="452"/>
      <c r="I28" s="412"/>
      <c r="J28" s="419"/>
      <c r="K28" s="423"/>
      <c r="L28" s="424"/>
      <c r="M28" s="424"/>
      <c r="N28" s="425"/>
      <c r="O28" s="432"/>
      <c r="P28" s="433"/>
      <c r="Q28" s="433"/>
      <c r="R28" s="434"/>
      <c r="S28" s="181"/>
      <c r="T28" s="181"/>
      <c r="U28" s="181"/>
      <c r="V28" s="181"/>
    </row>
    <row r="29" spans="1:22">
      <c r="A29" s="440"/>
      <c r="B29" s="412"/>
      <c r="C29" s="132" t="s">
        <v>123</v>
      </c>
      <c r="D29" s="132">
        <v>467666</v>
      </c>
      <c r="E29" s="148" t="s">
        <v>111</v>
      </c>
      <c r="F29" s="148" t="s">
        <v>96</v>
      </c>
      <c r="G29" s="449"/>
      <c r="H29" s="452"/>
      <c r="I29" s="412"/>
      <c r="J29" s="419"/>
      <c r="K29" s="423"/>
      <c r="L29" s="424"/>
      <c r="M29" s="424"/>
      <c r="N29" s="425"/>
      <c r="O29" s="432"/>
      <c r="P29" s="433"/>
      <c r="Q29" s="433"/>
      <c r="R29" s="434"/>
      <c r="S29" s="181"/>
      <c r="T29" s="181"/>
      <c r="U29" s="181"/>
      <c r="V29" s="181"/>
    </row>
    <row r="30" spans="1:22">
      <c r="A30" s="440"/>
      <c r="B30" s="412"/>
      <c r="C30" s="132" t="s">
        <v>141</v>
      </c>
      <c r="D30" s="132">
        <v>623908</v>
      </c>
      <c r="E30" s="148" t="s">
        <v>108</v>
      </c>
      <c r="F30" s="148" t="s">
        <v>96</v>
      </c>
      <c r="G30" s="449"/>
      <c r="H30" s="452"/>
      <c r="I30" s="412"/>
      <c r="J30" s="419"/>
      <c r="K30" s="423"/>
      <c r="L30" s="424"/>
      <c r="M30" s="424"/>
      <c r="N30" s="425"/>
      <c r="O30" s="432"/>
      <c r="P30" s="433"/>
      <c r="Q30" s="433"/>
      <c r="R30" s="434"/>
      <c r="S30" s="181"/>
      <c r="T30" s="181"/>
      <c r="U30" s="181"/>
      <c r="V30" s="181"/>
    </row>
    <row r="31" spans="1:22">
      <c r="A31" s="440"/>
      <c r="B31" s="412"/>
      <c r="C31" s="132" t="s">
        <v>142</v>
      </c>
      <c r="D31" s="132">
        <v>780775</v>
      </c>
      <c r="E31" s="148" t="s">
        <v>108</v>
      </c>
      <c r="F31" s="148" t="s">
        <v>140</v>
      </c>
      <c r="G31" s="449"/>
      <c r="H31" s="452"/>
      <c r="I31" s="412"/>
      <c r="J31" s="419"/>
      <c r="K31" s="423"/>
      <c r="L31" s="424"/>
      <c r="M31" s="424"/>
      <c r="N31" s="425"/>
      <c r="O31" s="432"/>
      <c r="P31" s="433"/>
      <c r="Q31" s="433"/>
      <c r="R31" s="434"/>
      <c r="S31" s="181"/>
      <c r="T31" s="181"/>
      <c r="U31" s="181"/>
      <c r="V31" s="181"/>
    </row>
    <row r="32" spans="1:22">
      <c r="A32" s="440"/>
      <c r="B32" s="412"/>
      <c r="C32" s="132" t="s">
        <v>127</v>
      </c>
      <c r="D32" s="132">
        <v>935861</v>
      </c>
      <c r="E32" s="148" t="s">
        <v>108</v>
      </c>
      <c r="F32" s="148" t="s">
        <v>140</v>
      </c>
      <c r="G32" s="449"/>
      <c r="H32" s="452"/>
      <c r="I32" s="412"/>
      <c r="J32" s="419"/>
      <c r="K32" s="423"/>
      <c r="L32" s="424"/>
      <c r="M32" s="424"/>
      <c r="N32" s="425"/>
      <c r="O32" s="432"/>
      <c r="P32" s="433"/>
      <c r="Q32" s="433"/>
      <c r="R32" s="434"/>
      <c r="S32" s="181"/>
      <c r="T32" s="181"/>
      <c r="U32" s="181"/>
      <c r="V32" s="181"/>
    </row>
    <row r="33" spans="1:22">
      <c r="A33" s="441"/>
      <c r="B33" s="413"/>
      <c r="C33" s="132" t="s">
        <v>143</v>
      </c>
      <c r="D33" s="132">
        <v>1000000</v>
      </c>
      <c r="E33" s="148" t="s">
        <v>108</v>
      </c>
      <c r="F33" s="148" t="s">
        <v>140</v>
      </c>
      <c r="G33" s="450"/>
      <c r="H33" s="453"/>
      <c r="I33" s="413"/>
      <c r="J33" s="419"/>
      <c r="K33" s="423"/>
      <c r="L33" s="424"/>
      <c r="M33" s="424"/>
      <c r="N33" s="425"/>
      <c r="O33" s="432"/>
      <c r="P33" s="433"/>
      <c r="Q33" s="433"/>
      <c r="R33" s="434"/>
      <c r="S33" s="181"/>
      <c r="T33" s="181"/>
      <c r="U33" s="181"/>
      <c r="V33" s="181"/>
    </row>
    <row r="34" spans="1:22" ht="15" customHeight="1">
      <c r="A34" s="411" t="s">
        <v>144</v>
      </c>
      <c r="B34" s="411" t="s">
        <v>94</v>
      </c>
      <c r="C34" s="132" t="s">
        <v>102</v>
      </c>
      <c r="D34" s="132" t="s">
        <v>145</v>
      </c>
      <c r="E34" s="148" t="s">
        <v>108</v>
      </c>
      <c r="F34" s="148" t="s">
        <v>140</v>
      </c>
      <c r="G34" s="448">
        <v>45719</v>
      </c>
      <c r="H34" s="451" t="s">
        <v>98</v>
      </c>
      <c r="I34" s="411" t="s">
        <v>71</v>
      </c>
      <c r="J34" s="419" t="s">
        <v>146</v>
      </c>
      <c r="K34" s="423"/>
      <c r="L34" s="424"/>
      <c r="M34" s="424"/>
      <c r="N34" s="425"/>
      <c r="O34" s="432"/>
      <c r="P34" s="433"/>
      <c r="Q34" s="433"/>
      <c r="R34" s="434"/>
      <c r="S34" s="181"/>
      <c r="T34" s="181"/>
      <c r="U34" s="181"/>
      <c r="V34" s="181"/>
    </row>
    <row r="35" spans="1:22" ht="18" customHeight="1">
      <c r="A35" s="412"/>
      <c r="B35" s="412"/>
      <c r="C35" s="414" t="s">
        <v>115</v>
      </c>
      <c r="D35" s="132" t="s">
        <v>147</v>
      </c>
      <c r="E35" s="148" t="s">
        <v>108</v>
      </c>
      <c r="F35" s="148" t="s">
        <v>140</v>
      </c>
      <c r="G35" s="449"/>
      <c r="H35" s="452"/>
      <c r="I35" s="412"/>
      <c r="J35" s="419"/>
      <c r="K35" s="423"/>
      <c r="L35" s="424"/>
      <c r="M35" s="424"/>
      <c r="N35" s="425"/>
      <c r="O35" s="432"/>
      <c r="P35" s="433"/>
      <c r="Q35" s="433"/>
      <c r="R35" s="434"/>
      <c r="S35" s="181"/>
      <c r="T35" s="181"/>
      <c r="U35" s="181"/>
      <c r="V35" s="181"/>
    </row>
    <row r="36" spans="1:22" ht="12.75" customHeight="1">
      <c r="A36" s="412"/>
      <c r="B36" s="412"/>
      <c r="C36" s="415"/>
      <c r="D36" s="135" t="s">
        <v>148</v>
      </c>
      <c r="E36" s="148" t="s">
        <v>135</v>
      </c>
      <c r="F36" s="148" t="s">
        <v>149</v>
      </c>
      <c r="G36" s="449"/>
      <c r="H36" s="452"/>
      <c r="I36" s="412"/>
      <c r="J36" s="419"/>
      <c r="K36" s="423"/>
      <c r="L36" s="424"/>
      <c r="M36" s="424"/>
      <c r="N36" s="425"/>
      <c r="O36" s="432"/>
      <c r="P36" s="433"/>
      <c r="Q36" s="433"/>
      <c r="R36" s="434"/>
      <c r="S36" s="181"/>
      <c r="T36" s="181"/>
      <c r="U36" s="181"/>
      <c r="V36" s="181"/>
    </row>
    <row r="37" spans="1:22">
      <c r="A37" s="412"/>
      <c r="B37" s="412"/>
      <c r="C37" s="414" t="s">
        <v>123</v>
      </c>
      <c r="D37" s="132" t="s">
        <v>150</v>
      </c>
      <c r="E37" s="148" t="s">
        <v>108</v>
      </c>
      <c r="F37" s="148" t="s">
        <v>140</v>
      </c>
      <c r="G37" s="449"/>
      <c r="H37" s="452"/>
      <c r="I37" s="412"/>
      <c r="J37" s="419"/>
      <c r="K37" s="423"/>
      <c r="L37" s="424"/>
      <c r="M37" s="424"/>
      <c r="N37" s="425"/>
      <c r="O37" s="432"/>
      <c r="P37" s="433"/>
      <c r="Q37" s="433"/>
      <c r="R37" s="434"/>
      <c r="S37" s="181"/>
      <c r="T37" s="181"/>
      <c r="U37" s="181"/>
      <c r="V37" s="181"/>
    </row>
    <row r="38" spans="1:22">
      <c r="A38" s="412"/>
      <c r="B38" s="412"/>
      <c r="C38" s="415"/>
      <c r="D38" s="132" t="s">
        <v>151</v>
      </c>
      <c r="E38" s="148" t="s">
        <v>135</v>
      </c>
      <c r="F38" s="148" t="s">
        <v>149</v>
      </c>
      <c r="G38" s="449"/>
      <c r="H38" s="452"/>
      <c r="I38" s="412"/>
      <c r="J38" s="419"/>
      <c r="K38" s="423"/>
      <c r="L38" s="424"/>
      <c r="M38" s="424"/>
      <c r="N38" s="425"/>
      <c r="O38" s="432"/>
      <c r="P38" s="433"/>
      <c r="Q38" s="433"/>
      <c r="R38" s="434"/>
      <c r="S38" s="181"/>
      <c r="T38" s="181"/>
      <c r="U38" s="181"/>
      <c r="V38" s="181"/>
    </row>
    <row r="39" spans="1:22">
      <c r="A39" s="412"/>
      <c r="B39" s="412"/>
      <c r="C39" s="414" t="s">
        <v>141</v>
      </c>
      <c r="D39" s="132" t="s">
        <v>152</v>
      </c>
      <c r="E39" s="148" t="s">
        <v>108</v>
      </c>
      <c r="F39" s="148" t="s">
        <v>140</v>
      </c>
      <c r="G39" s="449"/>
      <c r="H39" s="452"/>
      <c r="I39" s="412"/>
      <c r="J39" s="419"/>
      <c r="K39" s="423"/>
      <c r="L39" s="424"/>
      <c r="M39" s="424"/>
      <c r="N39" s="425"/>
      <c r="O39" s="432"/>
      <c r="P39" s="433"/>
      <c r="Q39" s="433"/>
      <c r="R39" s="434"/>
      <c r="S39" s="181"/>
      <c r="T39" s="181"/>
      <c r="U39" s="181"/>
      <c r="V39" s="181"/>
    </row>
    <row r="40" spans="1:22">
      <c r="A40" s="412"/>
      <c r="B40" s="412"/>
      <c r="C40" s="415"/>
      <c r="D40" s="132" t="s">
        <v>153</v>
      </c>
      <c r="E40" s="148" t="s">
        <v>135</v>
      </c>
      <c r="F40" s="148" t="s">
        <v>149</v>
      </c>
      <c r="G40" s="449"/>
      <c r="H40" s="452"/>
      <c r="I40" s="412"/>
      <c r="J40" s="419"/>
      <c r="K40" s="423"/>
      <c r="L40" s="424"/>
      <c r="M40" s="424"/>
      <c r="N40" s="425"/>
      <c r="O40" s="432"/>
      <c r="P40" s="433"/>
      <c r="Q40" s="433"/>
      <c r="R40" s="434"/>
      <c r="S40" s="181"/>
      <c r="T40" s="181"/>
      <c r="U40" s="181"/>
      <c r="V40" s="181"/>
    </row>
    <row r="41" spans="1:22">
      <c r="A41" s="412"/>
      <c r="B41" s="412"/>
      <c r="C41" s="414" t="s">
        <v>142</v>
      </c>
      <c r="D41" s="132" t="s">
        <v>154</v>
      </c>
      <c r="E41" s="148" t="s">
        <v>108</v>
      </c>
      <c r="F41" s="148" t="s">
        <v>140</v>
      </c>
      <c r="G41" s="449"/>
      <c r="H41" s="452"/>
      <c r="I41" s="412"/>
      <c r="J41" s="419"/>
      <c r="K41" s="423"/>
      <c r="L41" s="424"/>
      <c r="M41" s="424"/>
      <c r="N41" s="425"/>
      <c r="O41" s="432"/>
      <c r="P41" s="433"/>
      <c r="Q41" s="433"/>
      <c r="R41" s="434"/>
      <c r="S41" s="181"/>
      <c r="T41" s="181"/>
      <c r="U41" s="181"/>
      <c r="V41" s="181"/>
    </row>
    <row r="42" spans="1:22">
      <c r="A42" s="412"/>
      <c r="B42" s="412"/>
      <c r="C42" s="415"/>
      <c r="D42" s="132" t="s">
        <v>155</v>
      </c>
      <c r="E42" s="148" t="s">
        <v>135</v>
      </c>
      <c r="F42" s="148" t="s">
        <v>140</v>
      </c>
      <c r="G42" s="449"/>
      <c r="H42" s="452"/>
      <c r="I42" s="412"/>
      <c r="J42" s="419"/>
      <c r="K42" s="423"/>
      <c r="L42" s="424"/>
      <c r="M42" s="424"/>
      <c r="N42" s="425"/>
      <c r="O42" s="432"/>
      <c r="P42" s="433"/>
      <c r="Q42" s="433"/>
      <c r="R42" s="434"/>
      <c r="S42" s="181"/>
      <c r="T42" s="181"/>
      <c r="U42" s="181"/>
      <c r="V42" s="181"/>
    </row>
    <row r="43" spans="1:22">
      <c r="A43" s="412"/>
      <c r="B43" s="412"/>
      <c r="C43" s="414" t="s">
        <v>127</v>
      </c>
      <c r="D43" s="132" t="s">
        <v>156</v>
      </c>
      <c r="E43" s="148" t="s">
        <v>108</v>
      </c>
      <c r="F43" s="148" t="s">
        <v>140</v>
      </c>
      <c r="G43" s="449"/>
      <c r="H43" s="452"/>
      <c r="I43" s="412"/>
      <c r="J43" s="419"/>
      <c r="K43" s="423"/>
      <c r="L43" s="424"/>
      <c r="M43" s="424"/>
      <c r="N43" s="425"/>
      <c r="O43" s="432"/>
      <c r="P43" s="433"/>
      <c r="Q43" s="433"/>
      <c r="R43" s="434"/>
      <c r="S43" s="181"/>
      <c r="T43" s="181"/>
      <c r="U43" s="181"/>
      <c r="V43" s="181"/>
    </row>
    <row r="44" spans="1:22">
      <c r="A44" s="412"/>
      <c r="B44" s="412"/>
      <c r="C44" s="415"/>
      <c r="D44" s="132" t="s">
        <v>157</v>
      </c>
      <c r="E44" s="148" t="s">
        <v>135</v>
      </c>
      <c r="F44" s="148" t="s">
        <v>140</v>
      </c>
      <c r="G44" s="449"/>
      <c r="H44" s="452"/>
      <c r="I44" s="412"/>
      <c r="J44" s="419"/>
      <c r="K44" s="423"/>
      <c r="L44" s="424"/>
      <c r="M44" s="424"/>
      <c r="N44" s="425"/>
      <c r="O44" s="432"/>
      <c r="P44" s="433"/>
      <c r="Q44" s="433"/>
      <c r="R44" s="434"/>
      <c r="S44" s="181"/>
      <c r="T44" s="181"/>
      <c r="U44" s="181"/>
      <c r="V44" s="181"/>
    </row>
    <row r="45" spans="1:22">
      <c r="A45" s="412"/>
      <c r="B45" s="412"/>
      <c r="C45" s="414" t="s">
        <v>158</v>
      </c>
      <c r="D45" s="132" t="s">
        <v>159</v>
      </c>
      <c r="E45" s="148" t="s">
        <v>108</v>
      </c>
      <c r="F45" s="148" t="s">
        <v>96</v>
      </c>
      <c r="G45" s="449"/>
      <c r="H45" s="452"/>
      <c r="I45" s="412"/>
      <c r="J45" s="419"/>
      <c r="K45" s="423"/>
      <c r="L45" s="424"/>
      <c r="M45" s="424"/>
      <c r="N45" s="425"/>
      <c r="O45" s="432"/>
      <c r="P45" s="433"/>
      <c r="Q45" s="433"/>
      <c r="R45" s="434"/>
      <c r="S45" s="181"/>
      <c r="T45" s="181"/>
      <c r="U45" s="181"/>
      <c r="V45" s="181"/>
    </row>
    <row r="46" spans="1:22">
      <c r="A46" s="412"/>
      <c r="B46" s="412"/>
      <c r="C46" s="415"/>
      <c r="D46" s="132" t="s">
        <v>160</v>
      </c>
      <c r="E46" s="148" t="s">
        <v>135</v>
      </c>
      <c r="F46" s="148" t="s">
        <v>149</v>
      </c>
      <c r="G46" s="449"/>
      <c r="H46" s="452"/>
      <c r="I46" s="412"/>
      <c r="J46" s="419"/>
      <c r="K46" s="423"/>
      <c r="L46" s="424"/>
      <c r="M46" s="424"/>
      <c r="N46" s="425"/>
      <c r="O46" s="432"/>
      <c r="P46" s="433"/>
      <c r="Q46" s="433"/>
      <c r="R46" s="434"/>
      <c r="S46" s="181"/>
      <c r="T46" s="181"/>
      <c r="U46" s="181"/>
      <c r="V46" s="181"/>
    </row>
    <row r="47" spans="1:22">
      <c r="A47" s="412"/>
      <c r="B47" s="412"/>
      <c r="C47" s="414" t="s">
        <v>161</v>
      </c>
      <c r="D47" s="132" t="s">
        <v>159</v>
      </c>
      <c r="E47" s="148" t="s">
        <v>108</v>
      </c>
      <c r="F47" s="148" t="s">
        <v>96</v>
      </c>
      <c r="G47" s="449"/>
      <c r="H47" s="452"/>
      <c r="I47" s="412"/>
      <c r="J47" s="419"/>
      <c r="K47" s="423"/>
      <c r="L47" s="424"/>
      <c r="M47" s="424"/>
      <c r="N47" s="425"/>
      <c r="O47" s="432"/>
      <c r="P47" s="433"/>
      <c r="Q47" s="433"/>
      <c r="R47" s="434"/>
      <c r="S47" s="181"/>
      <c r="T47" s="181"/>
      <c r="U47" s="181"/>
      <c r="V47" s="181"/>
    </row>
    <row r="48" spans="1:22">
      <c r="A48" s="413"/>
      <c r="B48" s="413"/>
      <c r="C48" s="415"/>
      <c r="D48" s="132" t="s">
        <v>162</v>
      </c>
      <c r="E48" s="148" t="s">
        <v>135</v>
      </c>
      <c r="F48" s="148" t="s">
        <v>149</v>
      </c>
      <c r="G48" s="450"/>
      <c r="H48" s="453"/>
      <c r="I48" s="413"/>
      <c r="J48" s="419"/>
      <c r="K48" s="423"/>
      <c r="L48" s="424"/>
      <c r="M48" s="424"/>
      <c r="N48" s="425"/>
      <c r="O48" s="432"/>
      <c r="P48" s="433"/>
      <c r="Q48" s="433"/>
      <c r="R48" s="434"/>
      <c r="S48" s="181"/>
      <c r="T48" s="181"/>
      <c r="U48" s="181"/>
      <c r="V48" s="181"/>
    </row>
    <row r="49" spans="1:22" ht="15" customHeight="1">
      <c r="A49" s="411" t="s">
        <v>163</v>
      </c>
      <c r="B49" s="411" t="s">
        <v>94</v>
      </c>
      <c r="C49" s="414" t="s">
        <v>95</v>
      </c>
      <c r="D49" s="132" t="s">
        <v>164</v>
      </c>
      <c r="E49" s="148" t="s">
        <v>165</v>
      </c>
      <c r="F49" s="148" t="s">
        <v>166</v>
      </c>
      <c r="G49" s="448">
        <v>45721</v>
      </c>
      <c r="H49" s="451" t="s">
        <v>98</v>
      </c>
      <c r="I49" s="411" t="s">
        <v>71</v>
      </c>
      <c r="J49" s="419" t="s">
        <v>167</v>
      </c>
      <c r="K49" s="423"/>
      <c r="L49" s="424"/>
      <c r="M49" s="424"/>
      <c r="N49" s="425"/>
      <c r="O49" s="432"/>
      <c r="P49" s="433"/>
      <c r="Q49" s="433"/>
      <c r="R49" s="434"/>
      <c r="S49" s="181"/>
      <c r="T49" s="181"/>
      <c r="U49" s="181"/>
      <c r="V49" s="181"/>
    </row>
    <row r="50" spans="1:22">
      <c r="A50" s="412"/>
      <c r="B50" s="412"/>
      <c r="C50" s="415"/>
      <c r="D50" s="132" t="s">
        <v>168</v>
      </c>
      <c r="E50" s="148" t="s">
        <v>135</v>
      </c>
      <c r="F50" s="148" t="s">
        <v>149</v>
      </c>
      <c r="G50" s="449"/>
      <c r="H50" s="452"/>
      <c r="I50" s="412"/>
      <c r="J50" s="419"/>
      <c r="K50" s="423"/>
      <c r="L50" s="424"/>
      <c r="M50" s="424"/>
      <c r="N50" s="425"/>
      <c r="O50" s="432"/>
      <c r="P50" s="433"/>
      <c r="Q50" s="433"/>
      <c r="R50" s="434"/>
      <c r="S50" s="181"/>
      <c r="T50" s="181"/>
      <c r="U50" s="181"/>
      <c r="V50" s="181"/>
    </row>
    <row r="51" spans="1:22">
      <c r="A51" s="412"/>
      <c r="B51" s="412"/>
      <c r="C51" s="414" t="s">
        <v>102</v>
      </c>
      <c r="D51" s="132" t="s">
        <v>169</v>
      </c>
      <c r="E51" s="148" t="s">
        <v>170</v>
      </c>
      <c r="F51" s="148" t="s">
        <v>171</v>
      </c>
      <c r="G51" s="449"/>
      <c r="H51" s="452"/>
      <c r="I51" s="412"/>
      <c r="J51" s="419"/>
      <c r="K51" s="423"/>
      <c r="L51" s="424"/>
      <c r="M51" s="424"/>
      <c r="N51" s="425"/>
      <c r="O51" s="432"/>
      <c r="P51" s="433"/>
      <c r="Q51" s="433"/>
      <c r="R51" s="434"/>
      <c r="S51" s="181"/>
      <c r="T51" s="181"/>
      <c r="U51" s="181"/>
      <c r="V51" s="181"/>
    </row>
    <row r="52" spans="1:22">
      <c r="A52" s="412"/>
      <c r="B52" s="412"/>
      <c r="C52" s="415"/>
      <c r="D52" s="132" t="s">
        <v>172</v>
      </c>
      <c r="E52" s="148" t="s">
        <v>135</v>
      </c>
      <c r="F52" s="148" t="s">
        <v>149</v>
      </c>
      <c r="G52" s="449"/>
      <c r="H52" s="452"/>
      <c r="I52" s="412"/>
      <c r="J52" s="419"/>
      <c r="K52" s="423"/>
      <c r="L52" s="424"/>
      <c r="M52" s="424"/>
      <c r="N52" s="425"/>
      <c r="O52" s="432"/>
      <c r="P52" s="433"/>
      <c r="Q52" s="433"/>
      <c r="R52" s="434"/>
      <c r="S52" s="181"/>
      <c r="T52" s="181"/>
      <c r="U52" s="181"/>
      <c r="V52" s="181"/>
    </row>
    <row r="53" spans="1:22">
      <c r="A53" s="412"/>
      <c r="B53" s="412"/>
      <c r="C53" s="414" t="s">
        <v>113</v>
      </c>
      <c r="D53" s="132" t="s">
        <v>173</v>
      </c>
      <c r="E53" s="148" t="s">
        <v>174</v>
      </c>
      <c r="F53" s="148" t="s">
        <v>175</v>
      </c>
      <c r="G53" s="449"/>
      <c r="H53" s="452"/>
      <c r="I53" s="412"/>
      <c r="J53" s="419"/>
      <c r="K53" s="423"/>
      <c r="L53" s="424"/>
      <c r="M53" s="424"/>
      <c r="N53" s="425"/>
      <c r="O53" s="432"/>
      <c r="P53" s="433"/>
      <c r="Q53" s="433"/>
      <c r="R53" s="434"/>
      <c r="S53" s="181"/>
      <c r="T53" s="181"/>
      <c r="U53" s="181"/>
      <c r="V53" s="181"/>
    </row>
    <row r="54" spans="1:22">
      <c r="A54" s="412"/>
      <c r="B54" s="412"/>
      <c r="C54" s="415"/>
      <c r="D54" s="132" t="s">
        <v>176</v>
      </c>
      <c r="E54" s="148" t="s">
        <v>135</v>
      </c>
      <c r="F54" s="148" t="s">
        <v>149</v>
      </c>
      <c r="G54" s="449"/>
      <c r="H54" s="452"/>
      <c r="I54" s="412"/>
      <c r="J54" s="419"/>
      <c r="K54" s="423"/>
      <c r="L54" s="424"/>
      <c r="M54" s="424"/>
      <c r="N54" s="425"/>
      <c r="O54" s="432"/>
      <c r="P54" s="433"/>
      <c r="Q54" s="433"/>
      <c r="R54" s="434"/>
      <c r="S54" s="181"/>
      <c r="T54" s="181"/>
      <c r="U54" s="181"/>
      <c r="V54" s="181"/>
    </row>
    <row r="55" spans="1:22">
      <c r="A55" s="412"/>
      <c r="B55" s="412"/>
      <c r="C55" s="414" t="s">
        <v>115</v>
      </c>
      <c r="D55" s="132" t="s">
        <v>177</v>
      </c>
      <c r="E55" s="148" t="s">
        <v>112</v>
      </c>
      <c r="F55" s="148" t="s">
        <v>178</v>
      </c>
      <c r="G55" s="449"/>
      <c r="H55" s="452"/>
      <c r="I55" s="412"/>
      <c r="J55" s="419"/>
      <c r="K55" s="423"/>
      <c r="L55" s="424"/>
      <c r="M55" s="424"/>
      <c r="N55" s="425"/>
      <c r="O55" s="432"/>
      <c r="P55" s="433"/>
      <c r="Q55" s="433"/>
      <c r="R55" s="434"/>
      <c r="S55" s="181"/>
      <c r="T55" s="181"/>
      <c r="U55" s="181"/>
      <c r="V55" s="181"/>
    </row>
    <row r="56" spans="1:22">
      <c r="A56" s="412"/>
      <c r="B56" s="412"/>
      <c r="C56" s="415"/>
      <c r="D56" s="132" t="s">
        <v>179</v>
      </c>
      <c r="E56" s="148" t="s">
        <v>135</v>
      </c>
      <c r="F56" s="148" t="s">
        <v>149</v>
      </c>
      <c r="G56" s="449"/>
      <c r="H56" s="452"/>
      <c r="I56" s="412"/>
      <c r="J56" s="419"/>
      <c r="K56" s="423"/>
      <c r="L56" s="424"/>
      <c r="M56" s="424"/>
      <c r="N56" s="425"/>
      <c r="O56" s="432"/>
      <c r="P56" s="433"/>
      <c r="Q56" s="433"/>
      <c r="R56" s="434"/>
      <c r="S56" s="181"/>
      <c r="T56" s="181"/>
      <c r="U56" s="181"/>
      <c r="V56" s="181"/>
    </row>
    <row r="57" spans="1:22">
      <c r="A57" s="412"/>
      <c r="B57" s="412"/>
      <c r="C57" s="414" t="s">
        <v>180</v>
      </c>
      <c r="D57" s="132" t="s">
        <v>181</v>
      </c>
      <c r="E57" s="148" t="s">
        <v>114</v>
      </c>
      <c r="F57" s="148" t="s">
        <v>182</v>
      </c>
      <c r="G57" s="449"/>
      <c r="H57" s="452"/>
      <c r="I57" s="412"/>
      <c r="J57" s="419"/>
      <c r="K57" s="423"/>
      <c r="L57" s="424"/>
      <c r="M57" s="424"/>
      <c r="N57" s="425"/>
      <c r="O57" s="432"/>
      <c r="P57" s="433"/>
      <c r="Q57" s="433"/>
      <c r="R57" s="434"/>
      <c r="S57" s="181"/>
      <c r="T57" s="181"/>
      <c r="U57" s="181"/>
      <c r="V57" s="181"/>
    </row>
    <row r="58" spans="1:22">
      <c r="A58" s="412"/>
      <c r="B58" s="412"/>
      <c r="C58" s="415"/>
      <c r="D58" s="132" t="s">
        <v>183</v>
      </c>
      <c r="E58" s="148" t="s">
        <v>135</v>
      </c>
      <c r="F58" s="148" t="s">
        <v>149</v>
      </c>
      <c r="G58" s="449"/>
      <c r="H58" s="452"/>
      <c r="I58" s="412"/>
      <c r="J58" s="419"/>
      <c r="K58" s="423"/>
      <c r="L58" s="424"/>
      <c r="M58" s="424"/>
      <c r="N58" s="425"/>
      <c r="O58" s="432"/>
      <c r="P58" s="433"/>
      <c r="Q58" s="433"/>
      <c r="R58" s="434"/>
      <c r="S58" s="181"/>
      <c r="T58" s="181"/>
      <c r="U58" s="181"/>
      <c r="V58" s="181"/>
    </row>
    <row r="59" spans="1:22">
      <c r="A59" s="412"/>
      <c r="B59" s="412"/>
      <c r="C59" s="414" t="s">
        <v>123</v>
      </c>
      <c r="D59" s="132" t="s">
        <v>184</v>
      </c>
      <c r="E59" s="148" t="s">
        <v>114</v>
      </c>
      <c r="F59" s="148" t="s">
        <v>106</v>
      </c>
      <c r="G59" s="449"/>
      <c r="H59" s="452"/>
      <c r="I59" s="412"/>
      <c r="J59" s="419"/>
      <c r="K59" s="423"/>
      <c r="L59" s="424"/>
      <c r="M59" s="424"/>
      <c r="N59" s="425"/>
      <c r="O59" s="432"/>
      <c r="P59" s="433"/>
      <c r="Q59" s="433"/>
      <c r="R59" s="434"/>
      <c r="S59" s="181"/>
      <c r="T59" s="181"/>
      <c r="U59" s="181"/>
      <c r="V59" s="181"/>
    </row>
    <row r="60" spans="1:22">
      <c r="A60" s="412"/>
      <c r="B60" s="412"/>
      <c r="C60" s="415"/>
      <c r="D60" s="132" t="s">
        <v>185</v>
      </c>
      <c r="E60" s="148" t="s">
        <v>135</v>
      </c>
      <c r="F60" s="148" t="s">
        <v>149</v>
      </c>
      <c r="G60" s="449"/>
      <c r="H60" s="452"/>
      <c r="I60" s="412"/>
      <c r="J60" s="419"/>
      <c r="K60" s="423"/>
      <c r="L60" s="424"/>
      <c r="M60" s="424"/>
      <c r="N60" s="425"/>
      <c r="O60" s="432"/>
      <c r="P60" s="433"/>
      <c r="Q60" s="433"/>
      <c r="R60" s="434"/>
      <c r="S60" s="181"/>
      <c r="T60" s="181"/>
      <c r="U60" s="181"/>
      <c r="V60" s="181"/>
    </row>
    <row r="61" spans="1:22">
      <c r="A61" s="412"/>
      <c r="B61" s="412"/>
      <c r="C61" s="414" t="s">
        <v>186</v>
      </c>
      <c r="D61" s="132" t="s">
        <v>159</v>
      </c>
      <c r="E61" s="148" t="s">
        <v>114</v>
      </c>
      <c r="F61" s="148" t="s">
        <v>106</v>
      </c>
      <c r="G61" s="449"/>
      <c r="H61" s="452"/>
      <c r="I61" s="412"/>
      <c r="J61" s="419"/>
      <c r="K61" s="423"/>
      <c r="L61" s="424"/>
      <c r="M61" s="424"/>
      <c r="N61" s="425"/>
      <c r="O61" s="432"/>
      <c r="P61" s="433"/>
      <c r="Q61" s="433"/>
      <c r="R61" s="434"/>
      <c r="S61" s="181"/>
      <c r="T61" s="181"/>
      <c r="U61" s="181"/>
      <c r="V61" s="181"/>
    </row>
    <row r="62" spans="1:22" ht="78.75" customHeight="1">
      <c r="A62" s="413"/>
      <c r="B62" s="413"/>
      <c r="C62" s="415"/>
      <c r="D62" s="132" t="s">
        <v>162</v>
      </c>
      <c r="E62" s="148" t="s">
        <v>135</v>
      </c>
      <c r="F62" s="148" t="s">
        <v>149</v>
      </c>
      <c r="G62" s="450"/>
      <c r="H62" s="453"/>
      <c r="I62" s="413"/>
      <c r="J62" s="447"/>
      <c r="K62" s="426"/>
      <c r="L62" s="427"/>
      <c r="M62" s="427"/>
      <c r="N62" s="428"/>
      <c r="O62" s="435"/>
      <c r="P62" s="436"/>
      <c r="Q62" s="436"/>
      <c r="R62" s="437"/>
      <c r="S62" s="181"/>
      <c r="T62" s="181"/>
      <c r="U62" s="181"/>
      <c r="V62" s="181"/>
    </row>
  </sheetData>
  <mergeCells count="55">
    <mergeCell ref="G34:G48"/>
    <mergeCell ref="H34:H48"/>
    <mergeCell ref="I34:I48"/>
    <mergeCell ref="G49:G62"/>
    <mergeCell ref="H49:H62"/>
    <mergeCell ref="I49:I62"/>
    <mergeCell ref="G11:G26"/>
    <mergeCell ref="H11:H26"/>
    <mergeCell ref="I11:I26"/>
    <mergeCell ref="G27:G33"/>
    <mergeCell ref="H27:H33"/>
    <mergeCell ref="I27:I33"/>
    <mergeCell ref="G3:G5"/>
    <mergeCell ref="H3:H5"/>
    <mergeCell ref="I3:I5"/>
    <mergeCell ref="G6:G10"/>
    <mergeCell ref="H6:H10"/>
    <mergeCell ref="I6:I10"/>
    <mergeCell ref="K3:N62"/>
    <mergeCell ref="O3:R62"/>
    <mergeCell ref="J3:J5"/>
    <mergeCell ref="A6:A10"/>
    <mergeCell ref="B6:B10"/>
    <mergeCell ref="J6:J10"/>
    <mergeCell ref="J11:J26"/>
    <mergeCell ref="A27:A33"/>
    <mergeCell ref="B27:B33"/>
    <mergeCell ref="J27:J33"/>
    <mergeCell ref="A11:A26"/>
    <mergeCell ref="B11:B26"/>
    <mergeCell ref="C49:C50"/>
    <mergeCell ref="C51:C52"/>
    <mergeCell ref="J49:J62"/>
    <mergeCell ref="C35:C36"/>
    <mergeCell ref="C37:C38"/>
    <mergeCell ref="C39:C40"/>
    <mergeCell ref="C41:C42"/>
    <mergeCell ref="C43:C44"/>
    <mergeCell ref="C45:C46"/>
    <mergeCell ref="K1:N1"/>
    <mergeCell ref="O1:R1"/>
    <mergeCell ref="S1:T1"/>
    <mergeCell ref="A49:A62"/>
    <mergeCell ref="B49:B62"/>
    <mergeCell ref="C47:C48"/>
    <mergeCell ref="A34:A48"/>
    <mergeCell ref="B34:B48"/>
    <mergeCell ref="C53:C54"/>
    <mergeCell ref="C55:C56"/>
    <mergeCell ref="C57:C58"/>
    <mergeCell ref="C59:C60"/>
    <mergeCell ref="C61:C62"/>
    <mergeCell ref="A3:A5"/>
    <mergeCell ref="B3:B5"/>
    <mergeCell ref="J34:J48"/>
  </mergeCells>
  <hyperlinks>
    <hyperlink ref="J3" r:id="rId1" display="https://nee.sharepoint.com/:w:/r/teams/EXT_CIStoSAP-AWSConnect_Lex/Shared Documents/AWS Connect_Lex/05. Unified Customer Data Platform/Testing/Performance Testing/Release 1/Outcome/UCDP PerformanceAnalysis(100K_70TPS)_18022025.docx?d=w4aff5ec088c04947b255b16d814caa26&amp;csf=1&amp;web=1&amp;e=fOgfZo" xr:uid="{7CC1F8F9-0B15-420B-A2A6-D8970F0220A7}"/>
    <hyperlink ref="J27" r:id="rId2" display="https://nee.sharepoint.com/:w:/r/teams/EXT_CIStoSAP-AWSConnect_Lex/Shared Documents/AWS Connect_Lex/05. Unified Customer Data Platform/Testing/Performance Testing/Release 1/Outcome/UCDP PerformanceAnalysis(1M_130TPS)_26022025.docx?d=w8e28684ac831426299a8decba58ffa08&amp;csf=1&amp;web=1&amp;e=MsOxRK" xr:uid="{1D4B5352-4C96-49E1-A25E-4D1B293C19B2}"/>
    <hyperlink ref="J6" r:id="rId3" display="https://nee.sharepoint.com/:w:/r/teams/EXT_CIStoSAP-AWSConnect_Lex/Shared Documents/AWS Connect_Lex/05. Unified Customer Data Platform/Testing/Performance Testing/Release 1/Outcome/UCDP PerformanceAnalysis(200K_70TPS)_20022025.docx?d=w01e34a09a5ce425ba538ce49867a6c45&amp;csf=1&amp;web=1&amp;e=bEEu3F" xr:uid="{0656D61A-4AE5-426A-BD7A-53DD047DEC73}"/>
    <hyperlink ref="J34" r:id="rId4" display="https://nee.sharepoint.com/:w:/r/teams/EXT_CIStoSAP-AWSConnect_Lex/Shared Documents/AWS Connect_Lex/05. Unified Customer Data Platform/Testing/Performance Testing/Release 1/Outcome/UCDP PerformanceAnalysis(1M_READ_130TPS_1M_WRITE_130TPS)_03032025.docx?d=w58f0e9eea9a542b3a74b0fb42f67a659&amp;csf=1&amp;web=1&amp;e=XwMbwN" xr:uid="{421A6BA4-DF28-4EDE-A907-116EC4901555}"/>
    <hyperlink ref="J49" r:id="rId5" display="https://nee.sharepoint.com/:w:/r/teams/EXT_CIStoSAP-AWSConnect_Lex/Shared Documents/AWS Connect_Lex/05. Unified Customer Data Platform/Testing/Performance Testing/Release 1/Outcome/UCDP PerformanceAnalysis(1M_READ_260TPS_1M_WRITE_260TPS)_05032025.docx?d=wb464c09281524ee9b6feed2a6890f57d&amp;csf=1&amp;web=1&amp;e=QfqS7q" xr:uid="{FC123092-082B-4BF8-ACFD-6BA7CDF5E689}"/>
    <hyperlink ref="J11" r:id="rId6" display="https://nee.sharepoint.com/:w:/r/teams/EXT_CIStoSAP-AWSConnect_Lex/Shared Documents/AWS Connect_Lex/05. Unified Customer Data Platform/Testing/Performance Testing/Release 1/Outcome/UCDP PerformanceAnalysis(1M_70TPS)_24022025.docx?d=w73b6b4ae050c46cdab603a6494cadb78&amp;csf=1&amp;web=1&amp;e=YfCYto" xr:uid="{10532E9A-E1B3-47EE-9401-004674B3C2B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A386F-6C12-4A3B-ABD5-DC84C936B442}">
  <sheetPr>
    <tabColor theme="9" tint="0.79998168889431442"/>
  </sheetPr>
  <dimension ref="A1:AI178"/>
  <sheetViews>
    <sheetView topLeftCell="B167" workbookViewId="0">
      <selection activeCell="C170" sqref="C170:C178"/>
    </sheetView>
  </sheetViews>
  <sheetFormatPr defaultRowHeight="15"/>
  <cols>
    <col min="1" max="1" width="47.140625" bestFit="1" customWidth="1"/>
    <col min="2" max="2" width="78.7109375" style="5" customWidth="1"/>
    <col min="3" max="3" width="23" customWidth="1"/>
    <col min="4" max="4" width="31.28515625" bestFit="1" customWidth="1"/>
    <col min="5" max="5" width="26.140625" customWidth="1"/>
    <col min="6" max="6" width="15.42578125" bestFit="1" customWidth="1"/>
    <col min="7" max="7" width="14.140625" bestFit="1" customWidth="1"/>
    <col min="8" max="8" width="12.5703125" bestFit="1" customWidth="1"/>
    <col min="9" max="9" width="11.5703125" bestFit="1" customWidth="1"/>
    <col min="10" max="10" width="16.85546875" bestFit="1" customWidth="1"/>
    <col min="11" max="11" width="15.42578125" bestFit="1" customWidth="1"/>
    <col min="12" max="12" width="22.5703125" bestFit="1" customWidth="1"/>
    <col min="13" max="13" width="19.7109375" customWidth="1"/>
    <col min="14" max="14" width="12.5703125" bestFit="1" customWidth="1"/>
    <col min="15" max="15" width="11.5703125" bestFit="1" customWidth="1"/>
    <col min="16" max="16" width="16.85546875" bestFit="1" customWidth="1"/>
    <col min="17" max="17" width="22.5703125" bestFit="1" customWidth="1"/>
    <col min="18" max="18" width="19.7109375" customWidth="1"/>
    <col min="19" max="19" width="28.42578125" customWidth="1"/>
    <col min="20" max="30" width="19.7109375" style="133" customWidth="1"/>
    <col min="31" max="31" width="28.42578125" style="133" customWidth="1"/>
    <col min="32" max="34" width="21.28515625" customWidth="1"/>
    <col min="35" max="35" width="62.28515625" customWidth="1"/>
  </cols>
  <sheetData>
    <row r="1" spans="1:35" ht="15" customHeight="1">
      <c r="A1" s="239"/>
      <c r="B1" s="264"/>
      <c r="C1" s="265"/>
      <c r="D1" s="266"/>
      <c r="E1" s="239"/>
      <c r="F1" s="267" t="s">
        <v>187</v>
      </c>
      <c r="G1" s="267"/>
      <c r="H1" s="267"/>
      <c r="I1" s="267"/>
      <c r="J1" s="267"/>
      <c r="K1" s="267"/>
      <c r="L1" s="245" t="s">
        <v>188</v>
      </c>
      <c r="M1" s="239"/>
      <c r="N1" s="239"/>
      <c r="O1" s="268"/>
      <c r="P1" s="268"/>
      <c r="Q1" s="267"/>
      <c r="R1" s="239"/>
      <c r="S1" s="239"/>
      <c r="T1" s="239"/>
      <c r="U1" s="239"/>
      <c r="V1" s="239"/>
      <c r="W1" s="239"/>
      <c r="X1" s="467" t="s">
        <v>75</v>
      </c>
      <c r="Y1" s="468"/>
      <c r="Z1" s="468"/>
      <c r="AA1" s="469"/>
      <c r="AB1" s="474" t="s">
        <v>76</v>
      </c>
      <c r="AC1" s="475"/>
      <c r="AD1" s="475"/>
      <c r="AE1" s="476"/>
      <c r="AF1" s="454" t="s">
        <v>77</v>
      </c>
      <c r="AG1" s="455"/>
      <c r="AH1" s="269"/>
      <c r="AI1" s="269"/>
    </row>
    <row r="2" spans="1:35" ht="25.5">
      <c r="A2" s="222" t="s">
        <v>78</v>
      </c>
      <c r="B2" s="223" t="s">
        <v>79</v>
      </c>
      <c r="C2" s="223" t="s">
        <v>189</v>
      </c>
      <c r="D2" s="223" t="s">
        <v>190</v>
      </c>
      <c r="E2" s="224" t="s">
        <v>86</v>
      </c>
      <c r="F2" s="225" t="s">
        <v>191</v>
      </c>
      <c r="G2" s="226" t="s">
        <v>85</v>
      </c>
      <c r="H2" s="227" t="s">
        <v>192</v>
      </c>
      <c r="I2" s="227" t="s">
        <v>193</v>
      </c>
      <c r="J2" s="227" t="s">
        <v>194</v>
      </c>
      <c r="K2" s="228" t="s">
        <v>195</v>
      </c>
      <c r="L2" s="229" t="s">
        <v>196</v>
      </c>
      <c r="M2" s="222" t="s">
        <v>85</v>
      </c>
      <c r="N2" s="224" t="s">
        <v>192</v>
      </c>
      <c r="O2" s="227" t="s">
        <v>193</v>
      </c>
      <c r="P2" s="227" t="s">
        <v>194</v>
      </c>
      <c r="Q2" s="224" t="s">
        <v>195</v>
      </c>
      <c r="R2" s="223" t="s">
        <v>197</v>
      </c>
      <c r="S2" s="222" t="s">
        <v>85</v>
      </c>
      <c r="T2" s="224" t="s">
        <v>192</v>
      </c>
      <c r="U2" s="230" t="s">
        <v>198</v>
      </c>
      <c r="V2" s="231" t="s">
        <v>199</v>
      </c>
      <c r="W2" s="222" t="s">
        <v>200</v>
      </c>
      <c r="X2" s="222" t="s">
        <v>88</v>
      </c>
      <c r="Y2" s="223" t="s">
        <v>89</v>
      </c>
      <c r="Z2" s="223" t="s">
        <v>82</v>
      </c>
      <c r="AA2" s="223" t="s">
        <v>83</v>
      </c>
      <c r="AB2" s="222" t="s">
        <v>90</v>
      </c>
      <c r="AC2" s="223" t="s">
        <v>89</v>
      </c>
      <c r="AD2" s="223" t="s">
        <v>82</v>
      </c>
      <c r="AE2" s="223" t="s">
        <v>83</v>
      </c>
      <c r="AF2" s="223" t="s">
        <v>82</v>
      </c>
      <c r="AG2" s="223" t="s">
        <v>83</v>
      </c>
      <c r="AH2" s="232" t="s">
        <v>91</v>
      </c>
      <c r="AI2" s="232" t="s">
        <v>92</v>
      </c>
    </row>
    <row r="3" spans="1:35">
      <c r="A3" s="505" t="s">
        <v>201</v>
      </c>
      <c r="B3" s="233" t="s">
        <v>202</v>
      </c>
      <c r="C3" s="233" t="s">
        <v>203</v>
      </c>
      <c r="D3" s="234" t="s">
        <v>204</v>
      </c>
      <c r="E3" s="508"/>
      <c r="F3" s="511">
        <v>45813</v>
      </c>
      <c r="G3" s="480" t="s">
        <v>98</v>
      </c>
      <c r="H3" s="235"/>
      <c r="I3" s="236"/>
      <c r="J3" s="236"/>
      <c r="K3" s="463" t="s">
        <v>205</v>
      </c>
      <c r="L3" s="477">
        <v>45830</v>
      </c>
      <c r="M3" s="480" t="s">
        <v>98</v>
      </c>
      <c r="N3" s="456">
        <v>97829</v>
      </c>
      <c r="O3" s="237">
        <v>2.91</v>
      </c>
      <c r="P3" s="278">
        <v>16.4894</v>
      </c>
      <c r="Q3" s="463" t="s">
        <v>205</v>
      </c>
      <c r="R3" s="466"/>
      <c r="S3" s="466"/>
      <c r="T3" s="292"/>
      <c r="U3" s="292"/>
      <c r="V3" s="292"/>
      <c r="W3" s="293"/>
      <c r="X3" s="294"/>
      <c r="Y3" s="295"/>
      <c r="Z3" s="295"/>
      <c r="AA3" s="295"/>
      <c r="AB3" s="294"/>
      <c r="AC3" s="295"/>
      <c r="AD3" s="295"/>
      <c r="AE3" s="295"/>
      <c r="AF3" s="295"/>
      <c r="AG3" s="295"/>
      <c r="AH3" s="262"/>
      <c r="AI3" s="238"/>
    </row>
    <row r="4" spans="1:35">
      <c r="A4" s="506"/>
      <c r="B4" s="233" t="s">
        <v>206</v>
      </c>
      <c r="C4" s="233" t="s">
        <v>207</v>
      </c>
      <c r="D4" s="234" t="s">
        <v>208</v>
      </c>
      <c r="E4" s="509"/>
      <c r="F4" s="512"/>
      <c r="G4" s="481"/>
      <c r="H4" s="241"/>
      <c r="I4" s="242"/>
      <c r="J4" s="242"/>
      <c r="K4" s="464"/>
      <c r="L4" s="478"/>
      <c r="M4" s="481"/>
      <c r="N4" s="457"/>
      <c r="O4" s="234">
        <v>1.04</v>
      </c>
      <c r="P4" s="279">
        <v>1.3619000000000001</v>
      </c>
      <c r="Q4" s="464"/>
      <c r="R4" s="466"/>
      <c r="S4" s="466"/>
      <c r="T4" s="292"/>
      <c r="U4" s="292"/>
      <c r="V4" s="292"/>
      <c r="W4" s="293"/>
      <c r="X4" s="294"/>
      <c r="Y4" s="295"/>
      <c r="Z4" s="295"/>
      <c r="AA4" s="295"/>
      <c r="AB4" s="294"/>
      <c r="AC4" s="295"/>
      <c r="AD4" s="295"/>
      <c r="AE4" s="295"/>
      <c r="AF4" s="295"/>
      <c r="AG4" s="295"/>
      <c r="AH4" s="262"/>
      <c r="AI4" s="238"/>
    </row>
    <row r="5" spans="1:35">
      <c r="A5" s="506"/>
      <c r="B5" s="233" t="s">
        <v>209</v>
      </c>
      <c r="C5" s="233" t="s">
        <v>207</v>
      </c>
      <c r="D5" s="234" t="s">
        <v>210</v>
      </c>
      <c r="E5" s="509"/>
      <c r="F5" s="512"/>
      <c r="G5" s="481"/>
      <c r="H5" s="241"/>
      <c r="I5" s="242"/>
      <c r="J5" s="242"/>
      <c r="K5" s="464"/>
      <c r="L5" s="478"/>
      <c r="M5" s="481"/>
      <c r="N5" s="457"/>
      <c r="O5" s="234">
        <v>2.65</v>
      </c>
      <c r="P5" s="279">
        <v>3.6096000000000004</v>
      </c>
      <c r="Q5" s="464"/>
      <c r="R5" s="466"/>
      <c r="S5" s="466"/>
      <c r="T5" s="292"/>
      <c r="U5" s="292"/>
      <c r="V5" s="292"/>
      <c r="W5" s="293"/>
      <c r="X5" s="294"/>
      <c r="Y5" s="295"/>
      <c r="Z5" s="295"/>
      <c r="AA5" s="295"/>
      <c r="AB5" s="294"/>
      <c r="AC5" s="295"/>
      <c r="AD5" s="295"/>
      <c r="AE5" s="295"/>
      <c r="AF5" s="295"/>
      <c r="AG5" s="295"/>
      <c r="AH5" s="262"/>
      <c r="AI5" s="238"/>
    </row>
    <row r="6" spans="1:35">
      <c r="A6" s="506"/>
      <c r="B6" s="233" t="s">
        <v>211</v>
      </c>
      <c r="C6" s="233" t="s">
        <v>212</v>
      </c>
      <c r="D6" s="234" t="s">
        <v>213</v>
      </c>
      <c r="E6" s="509"/>
      <c r="F6" s="512"/>
      <c r="G6" s="481"/>
      <c r="H6" s="241"/>
      <c r="I6" s="242"/>
      <c r="J6" s="242"/>
      <c r="K6" s="464"/>
      <c r="L6" s="478"/>
      <c r="M6" s="481"/>
      <c r="N6" s="457"/>
      <c r="O6" s="234">
        <v>0.5</v>
      </c>
      <c r="P6" s="279">
        <v>1.0604</v>
      </c>
      <c r="Q6" s="464"/>
      <c r="R6" s="466"/>
      <c r="S6" s="466"/>
      <c r="T6" s="292"/>
      <c r="U6" s="292"/>
      <c r="V6" s="292"/>
      <c r="W6" s="293"/>
      <c r="X6" s="294"/>
      <c r="Y6" s="295"/>
      <c r="Z6" s="295"/>
      <c r="AA6" s="295"/>
      <c r="AB6" s="294"/>
      <c r="AC6" s="295"/>
      <c r="AD6" s="295"/>
      <c r="AE6" s="295"/>
      <c r="AF6" s="295"/>
      <c r="AG6" s="295"/>
      <c r="AH6" s="262"/>
      <c r="AI6" s="238"/>
    </row>
    <row r="7" spans="1:35">
      <c r="A7" s="506"/>
      <c r="B7" s="233" t="s">
        <v>214</v>
      </c>
      <c r="C7" s="233" t="s">
        <v>215</v>
      </c>
      <c r="D7" s="234" t="s">
        <v>216</v>
      </c>
      <c r="E7" s="509"/>
      <c r="F7" s="512"/>
      <c r="G7" s="481"/>
      <c r="H7" s="241"/>
      <c r="I7" s="242"/>
      <c r="J7" s="242"/>
      <c r="K7" s="464"/>
      <c r="L7" s="478"/>
      <c r="M7" s="481"/>
      <c r="N7" s="457"/>
      <c r="O7" s="234">
        <v>0.35</v>
      </c>
      <c r="P7" s="279">
        <v>4.0591999999999997</v>
      </c>
      <c r="Q7" s="464"/>
      <c r="R7" s="466"/>
      <c r="S7" s="466"/>
      <c r="T7" s="292"/>
      <c r="U7" s="292"/>
      <c r="V7" s="292"/>
      <c r="W7" s="293"/>
      <c r="X7" s="294"/>
      <c r="Y7" s="295"/>
      <c r="Z7" s="295"/>
      <c r="AA7" s="295"/>
      <c r="AB7" s="294"/>
      <c r="AC7" s="295"/>
      <c r="AD7" s="295"/>
      <c r="AE7" s="295"/>
      <c r="AF7" s="295"/>
      <c r="AG7" s="295"/>
      <c r="AH7" s="262"/>
      <c r="AI7" s="238"/>
    </row>
    <row r="8" spans="1:35">
      <c r="A8" s="506"/>
      <c r="B8" s="233" t="s">
        <v>217</v>
      </c>
      <c r="C8" s="233" t="s">
        <v>218</v>
      </c>
      <c r="D8" s="234" t="s">
        <v>219</v>
      </c>
      <c r="E8" s="509"/>
      <c r="F8" s="512"/>
      <c r="G8" s="481"/>
      <c r="H8" s="241"/>
      <c r="I8" s="242"/>
      <c r="J8" s="242"/>
      <c r="K8" s="464"/>
      <c r="L8" s="478"/>
      <c r="M8" s="481"/>
      <c r="N8" s="457"/>
      <c r="O8" s="234"/>
      <c r="P8" s="279"/>
      <c r="Q8" s="464"/>
      <c r="R8" s="466"/>
      <c r="S8" s="466"/>
      <c r="T8" s="292"/>
      <c r="U8" s="292"/>
      <c r="V8" s="292"/>
      <c r="W8" s="293"/>
      <c r="X8" s="294"/>
      <c r="Y8" s="295"/>
      <c r="Z8" s="295"/>
      <c r="AA8" s="295"/>
      <c r="AB8" s="294"/>
      <c r="AC8" s="295"/>
      <c r="AD8" s="295"/>
      <c r="AE8" s="295"/>
      <c r="AF8" s="295"/>
      <c r="AG8" s="295"/>
      <c r="AH8" s="262"/>
      <c r="AI8" s="238"/>
    </row>
    <row r="9" spans="1:35">
      <c r="A9" s="506"/>
      <c r="B9" s="233" t="s">
        <v>220</v>
      </c>
      <c r="C9" s="233"/>
      <c r="D9" s="234" t="s">
        <v>221</v>
      </c>
      <c r="E9" s="509"/>
      <c r="F9" s="512"/>
      <c r="G9" s="481"/>
      <c r="H9" s="241"/>
      <c r="I9" s="242"/>
      <c r="J9" s="242"/>
      <c r="K9" s="464"/>
      <c r="L9" s="478"/>
      <c r="M9" s="481"/>
      <c r="N9" s="457"/>
      <c r="O9" s="234">
        <v>1.53</v>
      </c>
      <c r="P9" s="279">
        <v>2.1529000000000003</v>
      </c>
      <c r="Q9" s="464"/>
      <c r="R9" s="466"/>
      <c r="S9" s="466"/>
      <c r="T9" s="292"/>
      <c r="U9" s="292"/>
      <c r="V9" s="292"/>
      <c r="W9" s="293"/>
      <c r="X9" s="294"/>
      <c r="Y9" s="295"/>
      <c r="Z9" s="295"/>
      <c r="AA9" s="295"/>
      <c r="AB9" s="294"/>
      <c r="AC9" s="295"/>
      <c r="AD9" s="295"/>
      <c r="AE9" s="295"/>
      <c r="AF9" s="295"/>
      <c r="AG9" s="295"/>
      <c r="AH9" s="262"/>
      <c r="AI9" s="238"/>
    </row>
    <row r="10" spans="1:35">
      <c r="A10" s="506"/>
      <c r="B10" s="233" t="s">
        <v>217</v>
      </c>
      <c r="C10" s="233" t="s">
        <v>207</v>
      </c>
      <c r="D10" s="234" t="s">
        <v>222</v>
      </c>
      <c r="E10" s="509"/>
      <c r="F10" s="512"/>
      <c r="G10" s="481"/>
      <c r="H10" s="241"/>
      <c r="I10" s="242"/>
      <c r="J10" s="242"/>
      <c r="K10" s="464"/>
      <c r="L10" s="478"/>
      <c r="M10" s="481"/>
      <c r="N10" s="457"/>
      <c r="O10" s="234"/>
      <c r="P10" s="279"/>
      <c r="Q10" s="464"/>
      <c r="R10" s="466"/>
      <c r="S10" s="466"/>
      <c r="T10" s="292"/>
      <c r="U10" s="292"/>
      <c r="V10" s="292"/>
      <c r="W10" s="293"/>
      <c r="X10" s="294"/>
      <c r="Y10" s="295"/>
      <c r="Z10" s="295"/>
      <c r="AA10" s="295"/>
      <c r="AB10" s="294"/>
      <c r="AC10" s="295"/>
      <c r="AD10" s="295"/>
      <c r="AE10" s="295"/>
      <c r="AF10" s="295"/>
      <c r="AG10" s="295"/>
      <c r="AH10" s="262"/>
      <c r="AI10" s="238"/>
    </row>
    <row r="11" spans="1:35">
      <c r="A11" s="506"/>
      <c r="B11" s="233"/>
      <c r="C11" s="233" t="s">
        <v>215</v>
      </c>
      <c r="D11" s="234" t="s">
        <v>223</v>
      </c>
      <c r="E11" s="509"/>
      <c r="F11" s="512"/>
      <c r="G11" s="481"/>
      <c r="H11" s="241"/>
      <c r="I11" s="242"/>
      <c r="J11" s="242"/>
      <c r="K11" s="464"/>
      <c r="L11" s="478"/>
      <c r="M11" s="481"/>
      <c r="N11" s="457"/>
      <c r="O11" s="234">
        <v>1.41</v>
      </c>
      <c r="P11" s="279">
        <v>2.0984000000000003</v>
      </c>
      <c r="Q11" s="464"/>
      <c r="R11" s="466"/>
      <c r="S11" s="466"/>
      <c r="T11" s="292"/>
      <c r="U11" s="292"/>
      <c r="V11" s="292"/>
      <c r="W11" s="293"/>
      <c r="X11" s="294"/>
      <c r="Y11" s="295"/>
      <c r="Z11" s="295"/>
      <c r="AA11" s="295"/>
      <c r="AB11" s="294"/>
      <c r="AC11" s="295"/>
      <c r="AD11" s="295"/>
      <c r="AE11" s="295"/>
      <c r="AF11" s="295"/>
      <c r="AG11" s="295"/>
      <c r="AH11" s="262"/>
      <c r="AI11" s="238"/>
    </row>
    <row r="12" spans="1:35">
      <c r="A12" s="506"/>
      <c r="B12" s="233"/>
      <c r="C12" s="233"/>
      <c r="D12" s="234" t="s">
        <v>224</v>
      </c>
      <c r="E12" s="509"/>
      <c r="F12" s="512"/>
      <c r="G12" s="481"/>
      <c r="H12" s="241"/>
      <c r="I12" s="242"/>
      <c r="J12" s="242"/>
      <c r="K12" s="464"/>
      <c r="L12" s="478"/>
      <c r="M12" s="481"/>
      <c r="N12" s="457"/>
      <c r="O12" s="234"/>
      <c r="P12" s="234"/>
      <c r="Q12" s="464"/>
      <c r="R12" s="466"/>
      <c r="S12" s="466"/>
      <c r="T12" s="292"/>
      <c r="U12" s="292"/>
      <c r="V12" s="292"/>
      <c r="W12" s="293"/>
      <c r="X12" s="294"/>
      <c r="Y12" s="295"/>
      <c r="Z12" s="295"/>
      <c r="AA12" s="295"/>
      <c r="AB12" s="294"/>
      <c r="AC12" s="295"/>
      <c r="AD12" s="295"/>
      <c r="AE12" s="295"/>
      <c r="AF12" s="295"/>
      <c r="AG12" s="295"/>
      <c r="AH12" s="262"/>
      <c r="AI12" s="238"/>
    </row>
    <row r="13" spans="1:35">
      <c r="A13" s="506"/>
      <c r="B13" s="233"/>
      <c r="C13" s="233" t="s">
        <v>207</v>
      </c>
      <c r="D13" s="234" t="s">
        <v>225</v>
      </c>
      <c r="E13" s="509"/>
      <c r="F13" s="512"/>
      <c r="G13" s="481"/>
      <c r="H13" s="241"/>
      <c r="I13" s="242"/>
      <c r="J13" s="242"/>
      <c r="K13" s="464"/>
      <c r="L13" s="478"/>
      <c r="M13" s="481"/>
      <c r="N13" s="457"/>
      <c r="O13" s="234">
        <v>3.97</v>
      </c>
      <c r="P13" s="279">
        <v>6.0853999999999999</v>
      </c>
      <c r="Q13" s="464"/>
      <c r="R13" s="466"/>
      <c r="S13" s="466"/>
      <c r="T13" s="292"/>
      <c r="U13" s="292"/>
      <c r="V13" s="292"/>
      <c r="W13" s="293"/>
      <c r="X13" s="294"/>
      <c r="Y13" s="295"/>
      <c r="Z13" s="295"/>
      <c r="AA13" s="295"/>
      <c r="AB13" s="294"/>
      <c r="AC13" s="295"/>
      <c r="AD13" s="295"/>
      <c r="AE13" s="295"/>
      <c r="AF13" s="295"/>
      <c r="AG13" s="295"/>
      <c r="AH13" s="262"/>
      <c r="AI13" s="238"/>
    </row>
    <row r="14" spans="1:35">
      <c r="A14" s="506"/>
      <c r="B14" s="233" t="s">
        <v>226</v>
      </c>
      <c r="C14" s="233" t="s">
        <v>207</v>
      </c>
      <c r="D14" s="234" t="s">
        <v>227</v>
      </c>
      <c r="E14" s="509"/>
      <c r="F14" s="512"/>
      <c r="G14" s="481"/>
      <c r="H14" s="241"/>
      <c r="I14" s="242"/>
      <c r="J14" s="242"/>
      <c r="K14" s="464"/>
      <c r="L14" s="478"/>
      <c r="M14" s="481"/>
      <c r="N14" s="457"/>
      <c r="O14" s="234">
        <v>1.31</v>
      </c>
      <c r="P14" s="279">
        <v>10.594900000000001</v>
      </c>
      <c r="Q14" s="464"/>
      <c r="R14" s="466"/>
      <c r="S14" s="466"/>
      <c r="T14" s="292"/>
      <c r="U14" s="292"/>
      <c r="V14" s="292"/>
      <c r="W14" s="293"/>
      <c r="X14" s="294"/>
      <c r="Y14" s="295"/>
      <c r="Z14" s="295"/>
      <c r="AA14" s="295"/>
      <c r="AB14" s="294"/>
      <c r="AC14" s="295"/>
      <c r="AD14" s="295"/>
      <c r="AE14" s="295"/>
      <c r="AF14" s="295"/>
      <c r="AG14" s="295"/>
      <c r="AH14" s="262"/>
      <c r="AI14" s="238"/>
    </row>
    <row r="15" spans="1:35">
      <c r="A15" s="506"/>
      <c r="B15" s="233" t="s">
        <v>228</v>
      </c>
      <c r="C15" s="233" t="s">
        <v>207</v>
      </c>
      <c r="D15" s="234" t="s">
        <v>229</v>
      </c>
      <c r="E15" s="509"/>
      <c r="F15" s="512"/>
      <c r="G15" s="481"/>
      <c r="H15" s="241"/>
      <c r="I15" s="242"/>
      <c r="J15" s="242"/>
      <c r="K15" s="464"/>
      <c r="L15" s="478"/>
      <c r="M15" s="481"/>
      <c r="N15" s="457"/>
      <c r="O15" s="234"/>
      <c r="P15" s="279"/>
      <c r="Q15" s="464"/>
      <c r="R15" s="466"/>
      <c r="S15" s="466"/>
      <c r="T15" s="292"/>
      <c r="U15" s="292"/>
      <c r="V15" s="292"/>
      <c r="W15" s="293"/>
      <c r="X15" s="294"/>
      <c r="Y15" s="295"/>
      <c r="Z15" s="295"/>
      <c r="AA15" s="295"/>
      <c r="AB15" s="294"/>
      <c r="AC15" s="295"/>
      <c r="AD15" s="295"/>
      <c r="AE15" s="295"/>
      <c r="AF15" s="295"/>
      <c r="AG15" s="295"/>
      <c r="AH15" s="262"/>
      <c r="AI15" s="238"/>
    </row>
    <row r="16" spans="1:35">
      <c r="A16" s="506"/>
      <c r="B16" s="233"/>
      <c r="C16" s="233"/>
      <c r="D16" s="234" t="s">
        <v>230</v>
      </c>
      <c r="E16" s="509"/>
      <c r="F16" s="512"/>
      <c r="G16" s="481"/>
      <c r="H16" s="241"/>
      <c r="I16" s="242"/>
      <c r="J16" s="242"/>
      <c r="K16" s="464"/>
      <c r="L16" s="478"/>
      <c r="M16" s="481"/>
      <c r="N16" s="457"/>
      <c r="O16" s="234">
        <v>2.93</v>
      </c>
      <c r="P16" s="279"/>
      <c r="Q16" s="464"/>
      <c r="R16" s="466"/>
      <c r="S16" s="466"/>
      <c r="T16" s="292"/>
      <c r="U16" s="292"/>
      <c r="V16" s="292"/>
      <c r="W16" s="293"/>
      <c r="X16" s="294"/>
      <c r="Y16" s="295"/>
      <c r="Z16" s="295"/>
      <c r="AA16" s="295"/>
      <c r="AB16" s="294"/>
      <c r="AC16" s="295"/>
      <c r="AD16" s="295"/>
      <c r="AE16" s="295"/>
      <c r="AF16" s="295"/>
      <c r="AG16" s="295"/>
      <c r="AH16" s="262"/>
      <c r="AI16" s="238"/>
    </row>
    <row r="17" spans="1:35">
      <c r="A17" s="506"/>
      <c r="B17" s="233"/>
      <c r="C17" s="233"/>
      <c r="D17" s="234" t="s">
        <v>231</v>
      </c>
      <c r="E17" s="509"/>
      <c r="F17" s="512"/>
      <c r="G17" s="481"/>
      <c r="H17" s="241"/>
      <c r="I17" s="242"/>
      <c r="J17" s="242"/>
      <c r="K17" s="464"/>
      <c r="L17" s="478"/>
      <c r="M17" s="481"/>
      <c r="N17" s="457"/>
      <c r="O17" s="234"/>
      <c r="P17" s="279"/>
      <c r="Q17" s="464"/>
      <c r="R17" s="466"/>
      <c r="S17" s="466"/>
      <c r="T17" s="292"/>
      <c r="U17" s="292"/>
      <c r="V17" s="292"/>
      <c r="W17" s="293"/>
      <c r="X17" s="294"/>
      <c r="Y17" s="295"/>
      <c r="Z17" s="295"/>
      <c r="AA17" s="295"/>
      <c r="AB17" s="294"/>
      <c r="AC17" s="295"/>
      <c r="AD17" s="295"/>
      <c r="AE17" s="295"/>
      <c r="AF17" s="295"/>
      <c r="AG17" s="295"/>
      <c r="AH17" s="262"/>
      <c r="AI17" s="238"/>
    </row>
    <row r="18" spans="1:35">
      <c r="A18" s="506"/>
      <c r="B18" s="233"/>
      <c r="C18" s="233"/>
      <c r="D18" s="234" t="s">
        <v>232</v>
      </c>
      <c r="E18" s="509"/>
      <c r="F18" s="512"/>
      <c r="G18" s="481"/>
      <c r="H18" s="241"/>
      <c r="I18" s="242"/>
      <c r="J18" s="242"/>
      <c r="K18" s="464"/>
      <c r="L18" s="478"/>
      <c r="M18" s="481"/>
      <c r="N18" s="457"/>
      <c r="O18" s="234">
        <v>1.43</v>
      </c>
      <c r="P18" s="279">
        <v>2.4486999999999997</v>
      </c>
      <c r="Q18" s="464"/>
      <c r="R18" s="466"/>
      <c r="S18" s="466"/>
      <c r="T18" s="292"/>
      <c r="U18" s="292"/>
      <c r="V18" s="292"/>
      <c r="W18" s="293"/>
      <c r="X18" s="294"/>
      <c r="Y18" s="295"/>
      <c r="Z18" s="295"/>
      <c r="AA18" s="295"/>
      <c r="AB18" s="294"/>
      <c r="AC18" s="295"/>
      <c r="AD18" s="295"/>
      <c r="AE18" s="295"/>
      <c r="AF18" s="295"/>
      <c r="AG18" s="295"/>
      <c r="AH18" s="262"/>
      <c r="AI18" s="238"/>
    </row>
    <row r="19" spans="1:35">
      <c r="A19" s="506"/>
      <c r="B19" s="233"/>
      <c r="C19" s="233"/>
      <c r="D19" s="234" t="s">
        <v>233</v>
      </c>
      <c r="E19" s="509"/>
      <c r="F19" s="512"/>
      <c r="G19" s="481"/>
      <c r="H19" s="241"/>
      <c r="I19" s="242"/>
      <c r="J19" s="242"/>
      <c r="K19" s="464"/>
      <c r="L19" s="478"/>
      <c r="M19" s="481"/>
      <c r="N19" s="457"/>
      <c r="O19" s="234">
        <v>5.96</v>
      </c>
      <c r="P19" s="279">
        <v>6.3739999999999997</v>
      </c>
      <c r="Q19" s="464"/>
      <c r="R19" s="466"/>
      <c r="S19" s="466"/>
      <c r="T19" s="292"/>
      <c r="U19" s="292"/>
      <c r="V19" s="292"/>
      <c r="W19" s="293"/>
      <c r="X19" s="294"/>
      <c r="Y19" s="295"/>
      <c r="Z19" s="295"/>
      <c r="AA19" s="295"/>
      <c r="AB19" s="294"/>
      <c r="AC19" s="295"/>
      <c r="AD19" s="295"/>
      <c r="AE19" s="295"/>
      <c r="AF19" s="295"/>
      <c r="AG19" s="295"/>
      <c r="AH19" s="262"/>
      <c r="AI19" s="238"/>
    </row>
    <row r="20" spans="1:35">
      <c r="A20" s="506"/>
      <c r="B20" s="233"/>
      <c r="C20" s="233"/>
      <c r="D20" s="234" t="s">
        <v>234</v>
      </c>
      <c r="E20" s="509"/>
      <c r="F20" s="512"/>
      <c r="G20" s="481"/>
      <c r="H20" s="241"/>
      <c r="I20" s="242"/>
      <c r="J20" s="242"/>
      <c r="K20" s="464"/>
      <c r="L20" s="478"/>
      <c r="M20" s="481"/>
      <c r="N20" s="457"/>
      <c r="O20" s="234"/>
      <c r="P20" s="279"/>
      <c r="Q20" s="464"/>
      <c r="R20" s="466"/>
      <c r="S20" s="466"/>
      <c r="T20" s="292"/>
      <c r="U20" s="292"/>
      <c r="V20" s="292"/>
      <c r="W20" s="293"/>
      <c r="X20" s="294"/>
      <c r="Y20" s="295"/>
      <c r="Z20" s="295"/>
      <c r="AA20" s="295"/>
      <c r="AB20" s="294"/>
      <c r="AC20" s="295"/>
      <c r="AD20" s="295"/>
      <c r="AE20" s="295"/>
      <c r="AF20" s="295"/>
      <c r="AG20" s="295"/>
      <c r="AH20" s="246"/>
      <c r="AI20" s="244"/>
    </row>
    <row r="21" spans="1:35">
      <c r="A21" s="506"/>
      <c r="B21" s="233"/>
      <c r="C21" s="233"/>
      <c r="D21" s="234" t="s">
        <v>235</v>
      </c>
      <c r="E21" s="509"/>
      <c r="F21" s="512"/>
      <c r="G21" s="481"/>
      <c r="H21" s="241"/>
      <c r="I21" s="242"/>
      <c r="J21" s="242"/>
      <c r="K21" s="464"/>
      <c r="L21" s="478"/>
      <c r="M21" s="481"/>
      <c r="N21" s="457"/>
      <c r="O21" s="234">
        <v>3.26</v>
      </c>
      <c r="P21" s="279">
        <v>8.0894999999999992</v>
      </c>
      <c r="Q21" s="464"/>
      <c r="R21" s="466"/>
      <c r="S21" s="466"/>
      <c r="T21" s="292"/>
      <c r="U21" s="292"/>
      <c r="V21" s="292"/>
      <c r="W21" s="293"/>
      <c r="X21" s="294"/>
      <c r="Y21" s="295"/>
      <c r="Z21" s="295"/>
      <c r="AA21" s="295"/>
      <c r="AB21" s="294"/>
      <c r="AC21" s="295"/>
      <c r="AD21" s="295"/>
      <c r="AE21" s="295"/>
      <c r="AF21" s="295"/>
      <c r="AG21" s="295"/>
      <c r="AH21" s="246"/>
      <c r="AI21" s="246"/>
    </row>
    <row r="22" spans="1:35">
      <c r="A22" s="506"/>
      <c r="B22" s="233"/>
      <c r="C22" s="233"/>
      <c r="D22" s="234" t="s">
        <v>236</v>
      </c>
      <c r="E22" s="509"/>
      <c r="F22" s="512"/>
      <c r="G22" s="481"/>
      <c r="H22" s="241"/>
      <c r="I22" s="242"/>
      <c r="J22" s="242"/>
      <c r="K22" s="464"/>
      <c r="L22" s="478"/>
      <c r="M22" s="481"/>
      <c r="N22" s="457"/>
      <c r="O22" s="234">
        <v>0.39</v>
      </c>
      <c r="P22" s="279">
        <v>0.80600000000000005</v>
      </c>
      <c r="Q22" s="464"/>
      <c r="R22" s="466"/>
      <c r="S22" s="466"/>
      <c r="T22" s="292"/>
      <c r="U22" s="292"/>
      <c r="V22" s="292"/>
      <c r="W22" s="293"/>
      <c r="X22" s="294"/>
      <c r="Y22" s="295"/>
      <c r="Z22" s="295"/>
      <c r="AA22" s="295"/>
      <c r="AB22" s="294"/>
      <c r="AC22" s="295"/>
      <c r="AD22" s="295"/>
      <c r="AE22" s="295"/>
      <c r="AF22" s="295"/>
      <c r="AG22" s="295"/>
      <c r="AH22" s="246"/>
      <c r="AI22" s="246"/>
    </row>
    <row r="23" spans="1:35">
      <c r="A23" s="507"/>
      <c r="B23" s="233"/>
      <c r="C23" s="233"/>
      <c r="D23" s="234" t="s">
        <v>237</v>
      </c>
      <c r="E23" s="510"/>
      <c r="F23" s="513"/>
      <c r="G23" s="482"/>
      <c r="H23" s="247"/>
      <c r="I23" s="248"/>
      <c r="J23" s="248"/>
      <c r="K23" s="465"/>
      <c r="L23" s="479"/>
      <c r="M23" s="482"/>
      <c r="N23" s="458"/>
      <c r="O23" s="249"/>
      <c r="P23" s="280"/>
      <c r="Q23" s="465"/>
      <c r="R23" s="466"/>
      <c r="S23" s="466"/>
      <c r="T23" s="292"/>
      <c r="U23" s="292"/>
      <c r="V23" s="292"/>
      <c r="W23" s="293"/>
      <c r="X23" s="294"/>
      <c r="Y23" s="295"/>
      <c r="Z23" s="295"/>
      <c r="AA23" s="295"/>
      <c r="AB23" s="294"/>
      <c r="AC23" s="295"/>
      <c r="AD23" s="295"/>
      <c r="AE23" s="295"/>
      <c r="AF23" s="295"/>
      <c r="AG23" s="295"/>
      <c r="AH23" s="246"/>
      <c r="AI23" s="246"/>
    </row>
    <row r="24" spans="1:35">
      <c r="A24" s="544" t="s">
        <v>238</v>
      </c>
      <c r="B24" s="233" t="s">
        <v>239</v>
      </c>
      <c r="C24" s="233" t="s">
        <v>203</v>
      </c>
      <c r="D24" s="234" t="s">
        <v>204</v>
      </c>
      <c r="E24" s="541"/>
      <c r="F24" s="511">
        <v>45813</v>
      </c>
      <c r="G24" s="501" t="s">
        <v>98</v>
      </c>
      <c r="H24" s="235"/>
      <c r="I24" s="236"/>
      <c r="J24" s="236"/>
      <c r="K24" s="503" t="s">
        <v>205</v>
      </c>
      <c r="L24" s="500">
        <v>45830</v>
      </c>
      <c r="M24" s="491" t="s">
        <v>98</v>
      </c>
      <c r="N24" s="456">
        <v>67434</v>
      </c>
      <c r="O24" s="250">
        <v>2.91</v>
      </c>
      <c r="P24" s="281">
        <v>16.4894</v>
      </c>
      <c r="Q24" s="470" t="s">
        <v>205</v>
      </c>
      <c r="R24" s="473"/>
      <c r="S24" s="462"/>
      <c r="T24" s="292"/>
      <c r="U24" s="292"/>
      <c r="V24" s="292"/>
      <c r="W24" s="293"/>
      <c r="X24" s="294"/>
      <c r="Y24" s="295"/>
      <c r="Z24" s="295"/>
      <c r="AA24" s="295"/>
      <c r="AB24" s="294"/>
      <c r="AC24" s="295"/>
      <c r="AD24" s="295"/>
      <c r="AE24" s="295"/>
      <c r="AF24" s="295"/>
      <c r="AG24" s="295"/>
      <c r="AH24" s="299"/>
      <c r="AI24" s="240"/>
    </row>
    <row r="25" spans="1:35">
      <c r="A25" s="544"/>
      <c r="B25" s="233" t="s">
        <v>240</v>
      </c>
      <c r="C25" s="233" t="s">
        <v>207</v>
      </c>
      <c r="D25" s="234" t="s">
        <v>208</v>
      </c>
      <c r="E25" s="542"/>
      <c r="F25" s="512"/>
      <c r="G25" s="502"/>
      <c r="H25" s="241"/>
      <c r="I25" s="242"/>
      <c r="J25" s="242"/>
      <c r="K25" s="504"/>
      <c r="L25" s="478"/>
      <c r="M25" s="492"/>
      <c r="N25" s="457"/>
      <c r="O25" s="234">
        <v>1.04</v>
      </c>
      <c r="P25" s="279">
        <v>1.3619000000000001</v>
      </c>
      <c r="Q25" s="471"/>
      <c r="R25" s="473"/>
      <c r="S25" s="462"/>
      <c r="T25" s="292"/>
      <c r="U25" s="292"/>
      <c r="V25" s="292"/>
      <c r="W25" s="293"/>
      <c r="X25" s="294"/>
      <c r="Y25" s="295"/>
      <c r="Z25" s="295"/>
      <c r="AA25" s="295"/>
      <c r="AB25" s="294"/>
      <c r="AC25" s="295"/>
      <c r="AD25" s="295"/>
      <c r="AE25" s="295"/>
      <c r="AF25" s="295"/>
      <c r="AG25" s="295"/>
      <c r="AH25" s="299"/>
      <c r="AI25" s="240"/>
    </row>
    <row r="26" spans="1:35">
      <c r="A26" s="544"/>
      <c r="B26" s="233" t="s">
        <v>220</v>
      </c>
      <c r="C26" s="233"/>
      <c r="D26" s="234" t="s">
        <v>210</v>
      </c>
      <c r="E26" s="542"/>
      <c r="F26" s="512"/>
      <c r="G26" s="502"/>
      <c r="H26" s="241"/>
      <c r="I26" s="242"/>
      <c r="J26" s="242"/>
      <c r="K26" s="504"/>
      <c r="L26" s="478"/>
      <c r="M26" s="492"/>
      <c r="N26" s="457"/>
      <c r="O26" s="234">
        <v>2.65</v>
      </c>
      <c r="P26" s="279">
        <v>3.6096000000000004</v>
      </c>
      <c r="Q26" s="471"/>
      <c r="R26" s="473"/>
      <c r="S26" s="462"/>
      <c r="T26" s="292"/>
      <c r="U26" s="292"/>
      <c r="V26" s="292"/>
      <c r="W26" s="293"/>
      <c r="X26" s="294"/>
      <c r="Y26" s="295"/>
      <c r="Z26" s="295"/>
      <c r="AA26" s="295"/>
      <c r="AB26" s="294"/>
      <c r="AC26" s="295"/>
      <c r="AD26" s="295"/>
      <c r="AE26" s="295"/>
      <c r="AF26" s="295"/>
      <c r="AG26" s="295"/>
      <c r="AH26" s="299"/>
      <c r="AI26" s="240"/>
    </row>
    <row r="27" spans="1:35">
      <c r="A27" s="544"/>
      <c r="B27" s="233" t="s">
        <v>241</v>
      </c>
      <c r="C27" s="233"/>
      <c r="D27" s="234" t="s">
        <v>213</v>
      </c>
      <c r="E27" s="542"/>
      <c r="F27" s="512"/>
      <c r="G27" s="502"/>
      <c r="H27" s="241"/>
      <c r="I27" s="242"/>
      <c r="J27" s="242"/>
      <c r="K27" s="504"/>
      <c r="L27" s="478"/>
      <c r="M27" s="492"/>
      <c r="N27" s="457"/>
      <c r="O27" s="234">
        <v>0.5</v>
      </c>
      <c r="P27" s="279">
        <v>1.0604</v>
      </c>
      <c r="Q27" s="471"/>
      <c r="R27" s="473"/>
      <c r="S27" s="462"/>
      <c r="T27" s="292"/>
      <c r="U27" s="292"/>
      <c r="V27" s="292"/>
      <c r="W27" s="293"/>
      <c r="X27" s="294"/>
      <c r="Y27" s="295"/>
      <c r="Z27" s="295"/>
      <c r="AA27" s="295"/>
      <c r="AB27" s="294"/>
      <c r="AC27" s="295"/>
      <c r="AD27" s="295"/>
      <c r="AE27" s="295"/>
      <c r="AF27" s="295"/>
      <c r="AG27" s="295"/>
      <c r="AH27" s="299"/>
      <c r="AI27" s="240"/>
    </row>
    <row r="28" spans="1:35">
      <c r="A28" s="544"/>
      <c r="B28" s="233"/>
      <c r="C28" s="233"/>
      <c r="D28" s="234" t="s">
        <v>242</v>
      </c>
      <c r="E28" s="542"/>
      <c r="F28" s="512"/>
      <c r="G28" s="502"/>
      <c r="H28" s="241"/>
      <c r="I28" s="242"/>
      <c r="J28" s="242"/>
      <c r="K28" s="504"/>
      <c r="L28" s="478"/>
      <c r="M28" s="492"/>
      <c r="N28" s="457"/>
      <c r="O28" s="234">
        <v>0.09</v>
      </c>
      <c r="P28" s="279">
        <v>3.8650000000000002</v>
      </c>
      <c r="Q28" s="471"/>
      <c r="R28" s="473"/>
      <c r="S28" s="462"/>
      <c r="T28" s="292"/>
      <c r="U28" s="292"/>
      <c r="V28" s="292"/>
      <c r="W28" s="293"/>
      <c r="X28" s="294"/>
      <c r="Y28" s="295"/>
      <c r="Z28" s="295"/>
      <c r="AA28" s="295"/>
      <c r="AB28" s="294"/>
      <c r="AC28" s="295"/>
      <c r="AD28" s="295"/>
      <c r="AE28" s="295"/>
      <c r="AF28" s="295"/>
      <c r="AG28" s="295"/>
      <c r="AH28" s="299"/>
      <c r="AI28" s="240"/>
    </row>
    <row r="29" spans="1:35">
      <c r="A29" s="544"/>
      <c r="B29" s="233" t="s">
        <v>243</v>
      </c>
      <c r="C29" s="233" t="s">
        <v>244</v>
      </c>
      <c r="D29" s="234" t="s">
        <v>227</v>
      </c>
      <c r="E29" s="542"/>
      <c r="F29" s="512"/>
      <c r="G29" s="502"/>
      <c r="H29" s="241"/>
      <c r="I29" s="242"/>
      <c r="J29" s="241"/>
      <c r="K29" s="504"/>
      <c r="L29" s="478"/>
      <c r="M29" s="492"/>
      <c r="N29" s="457"/>
      <c r="O29" s="234">
        <v>1.31</v>
      </c>
      <c r="P29" s="279">
        <v>10.594900000000001</v>
      </c>
      <c r="Q29" s="471"/>
      <c r="R29" s="473"/>
      <c r="S29" s="462"/>
      <c r="T29" s="292"/>
      <c r="U29" s="292"/>
      <c r="V29" s="292"/>
      <c r="W29" s="293"/>
      <c r="X29" s="294"/>
      <c r="Y29" s="295"/>
      <c r="Z29" s="295"/>
      <c r="AA29" s="295"/>
      <c r="AB29" s="294"/>
      <c r="AC29" s="295"/>
      <c r="AD29" s="295"/>
      <c r="AE29" s="295"/>
      <c r="AF29" s="295"/>
      <c r="AG29" s="295"/>
      <c r="AH29" s="299"/>
      <c r="AI29" s="240"/>
    </row>
    <row r="30" spans="1:35">
      <c r="A30" s="544"/>
      <c r="B30" s="233" t="s">
        <v>245</v>
      </c>
      <c r="C30" s="233" t="s">
        <v>244</v>
      </c>
      <c r="D30" s="234" t="s">
        <v>219</v>
      </c>
      <c r="E30" s="542"/>
      <c r="F30" s="512"/>
      <c r="G30" s="502"/>
      <c r="H30" s="241"/>
      <c r="I30" s="242"/>
      <c r="J30" s="241"/>
      <c r="K30" s="504"/>
      <c r="L30" s="478"/>
      <c r="M30" s="492"/>
      <c r="N30" s="457"/>
      <c r="O30" s="234"/>
      <c r="P30" s="279"/>
      <c r="Q30" s="471"/>
      <c r="R30" s="473"/>
      <c r="S30" s="462"/>
      <c r="T30" s="292"/>
      <c r="U30" s="292"/>
      <c r="V30" s="292"/>
      <c r="W30" s="293"/>
      <c r="X30" s="294"/>
      <c r="Y30" s="295"/>
      <c r="Z30" s="295"/>
      <c r="AA30" s="295"/>
      <c r="AB30" s="294"/>
      <c r="AC30" s="295"/>
      <c r="AD30" s="295"/>
      <c r="AE30" s="295"/>
      <c r="AF30" s="295"/>
      <c r="AG30" s="295"/>
      <c r="AH30" s="299"/>
      <c r="AI30" s="240"/>
    </row>
    <row r="31" spans="1:35">
      <c r="A31" s="544"/>
      <c r="B31" s="233"/>
      <c r="C31" s="233"/>
      <c r="D31" s="234" t="s">
        <v>246</v>
      </c>
      <c r="E31" s="542"/>
      <c r="F31" s="512"/>
      <c r="G31" s="502"/>
      <c r="H31" s="243"/>
      <c r="I31" s="242"/>
      <c r="J31" s="243"/>
      <c r="K31" s="504"/>
      <c r="L31" s="478"/>
      <c r="M31" s="492"/>
      <c r="N31" s="457"/>
      <c r="O31" s="234">
        <v>2.35</v>
      </c>
      <c r="P31" s="279">
        <v>5.9601999999999995</v>
      </c>
      <c r="Q31" s="471"/>
      <c r="R31" s="473"/>
      <c r="S31" s="462"/>
      <c r="T31" s="292"/>
      <c r="U31" s="292"/>
      <c r="V31" s="292"/>
      <c r="W31" s="293"/>
      <c r="X31" s="294"/>
      <c r="Y31" s="295"/>
      <c r="Z31" s="295"/>
      <c r="AA31" s="295"/>
      <c r="AB31" s="294"/>
      <c r="AC31" s="295"/>
      <c r="AD31" s="295"/>
      <c r="AE31" s="295"/>
      <c r="AF31" s="295"/>
      <c r="AG31" s="295"/>
      <c r="AH31" s="299"/>
      <c r="AI31" s="240"/>
    </row>
    <row r="32" spans="1:35">
      <c r="A32" s="544"/>
      <c r="B32" s="233" t="s">
        <v>247</v>
      </c>
      <c r="C32" s="233" t="s">
        <v>244</v>
      </c>
      <c r="D32" s="234" t="s">
        <v>222</v>
      </c>
      <c r="E32" s="542"/>
      <c r="F32" s="512"/>
      <c r="G32" s="502"/>
      <c r="H32" s="243"/>
      <c r="I32" s="242"/>
      <c r="J32" s="243"/>
      <c r="K32" s="504"/>
      <c r="L32" s="478"/>
      <c r="M32" s="492"/>
      <c r="N32" s="457"/>
      <c r="O32" s="234"/>
      <c r="P32" s="279"/>
      <c r="Q32" s="471"/>
      <c r="R32" s="473"/>
      <c r="S32" s="462"/>
      <c r="T32" s="292"/>
      <c r="U32" s="292"/>
      <c r="V32" s="292"/>
      <c r="W32" s="293"/>
      <c r="X32" s="294"/>
      <c r="Y32" s="295"/>
      <c r="Z32" s="295"/>
      <c r="AA32" s="295"/>
      <c r="AB32" s="294"/>
      <c r="AC32" s="295"/>
      <c r="AD32" s="295"/>
      <c r="AE32" s="295"/>
      <c r="AF32" s="295"/>
      <c r="AG32" s="295"/>
      <c r="AH32" s="299"/>
      <c r="AI32" s="240"/>
    </row>
    <row r="33" spans="1:35">
      <c r="A33" s="544"/>
      <c r="B33" s="233"/>
      <c r="C33" s="233" t="s">
        <v>248</v>
      </c>
      <c r="D33" s="234" t="s">
        <v>249</v>
      </c>
      <c r="E33" s="542"/>
      <c r="F33" s="512"/>
      <c r="G33" s="502"/>
      <c r="H33" s="243"/>
      <c r="I33" s="242"/>
      <c r="J33" s="243"/>
      <c r="K33" s="504"/>
      <c r="L33" s="478"/>
      <c r="M33" s="492"/>
      <c r="N33" s="457"/>
      <c r="O33" s="234">
        <v>2.93</v>
      </c>
      <c r="P33" s="279"/>
      <c r="Q33" s="471"/>
      <c r="R33" s="473"/>
      <c r="S33" s="462"/>
      <c r="T33" s="292"/>
      <c r="U33" s="292"/>
      <c r="V33" s="292"/>
      <c r="W33" s="293"/>
      <c r="X33" s="294"/>
      <c r="Y33" s="295"/>
      <c r="Z33" s="295"/>
      <c r="AA33" s="295"/>
      <c r="AB33" s="294"/>
      <c r="AC33" s="295"/>
      <c r="AD33" s="295"/>
      <c r="AE33" s="295"/>
      <c r="AF33" s="295"/>
      <c r="AG33" s="295"/>
      <c r="AH33" s="299"/>
      <c r="AI33" s="240"/>
    </row>
    <row r="34" spans="1:35">
      <c r="A34" s="544"/>
      <c r="B34" s="233"/>
      <c r="C34" s="233"/>
      <c r="D34" s="234" t="s">
        <v>229</v>
      </c>
      <c r="E34" s="542"/>
      <c r="F34" s="512"/>
      <c r="G34" s="502"/>
      <c r="H34" s="243"/>
      <c r="I34" s="242"/>
      <c r="J34" s="243"/>
      <c r="K34" s="504"/>
      <c r="L34" s="478"/>
      <c r="M34" s="492"/>
      <c r="N34" s="457"/>
      <c r="O34" s="234"/>
      <c r="P34" s="279"/>
      <c r="Q34" s="471"/>
      <c r="R34" s="473"/>
      <c r="S34" s="462"/>
      <c r="T34" s="292"/>
      <c r="U34" s="292"/>
      <c r="V34" s="292"/>
      <c r="W34" s="293"/>
      <c r="X34" s="294"/>
      <c r="Y34" s="295"/>
      <c r="Z34" s="295"/>
      <c r="AA34" s="295"/>
      <c r="AB34" s="294"/>
      <c r="AC34" s="295"/>
      <c r="AD34" s="295"/>
      <c r="AE34" s="295"/>
      <c r="AF34" s="295"/>
      <c r="AG34" s="295"/>
      <c r="AH34" s="299"/>
      <c r="AI34" s="240"/>
    </row>
    <row r="35" spans="1:35">
      <c r="A35" s="544"/>
      <c r="B35" s="233" t="s">
        <v>226</v>
      </c>
      <c r="C35" s="233"/>
      <c r="D35" s="234" t="s">
        <v>232</v>
      </c>
      <c r="E35" s="542"/>
      <c r="F35" s="512"/>
      <c r="G35" s="502"/>
      <c r="H35" s="243"/>
      <c r="I35" s="242"/>
      <c r="J35" s="243"/>
      <c r="K35" s="504"/>
      <c r="L35" s="478"/>
      <c r="M35" s="492"/>
      <c r="N35" s="457"/>
      <c r="O35" s="234">
        <v>1.43</v>
      </c>
      <c r="P35" s="279">
        <v>2.4486999999999997</v>
      </c>
      <c r="Q35" s="471"/>
      <c r="R35" s="473"/>
      <c r="S35" s="462"/>
      <c r="T35" s="292"/>
      <c r="U35" s="292"/>
      <c r="V35" s="292"/>
      <c r="W35" s="293"/>
      <c r="X35" s="294"/>
      <c r="Y35" s="295"/>
      <c r="Z35" s="295"/>
      <c r="AA35" s="295"/>
      <c r="AB35" s="294"/>
      <c r="AC35" s="295"/>
      <c r="AD35" s="295"/>
      <c r="AE35" s="295"/>
      <c r="AF35" s="295"/>
      <c r="AG35" s="295"/>
      <c r="AH35" s="299"/>
      <c r="AI35" s="240"/>
    </row>
    <row r="36" spans="1:35">
      <c r="A36" s="544"/>
      <c r="B36" s="233" t="s">
        <v>228</v>
      </c>
      <c r="C36" s="233"/>
      <c r="D36" s="234" t="s">
        <v>250</v>
      </c>
      <c r="E36" s="542"/>
      <c r="F36" s="512"/>
      <c r="G36" s="502"/>
      <c r="H36" s="243"/>
      <c r="I36" s="242"/>
      <c r="J36" s="243"/>
      <c r="K36" s="504"/>
      <c r="L36" s="478"/>
      <c r="M36" s="492"/>
      <c r="N36" s="457"/>
      <c r="O36" s="234">
        <v>5.92</v>
      </c>
      <c r="P36" s="279">
        <v>6.3721000000000005</v>
      </c>
      <c r="Q36" s="471"/>
      <c r="R36" s="473"/>
      <c r="S36" s="462"/>
      <c r="T36" s="292"/>
      <c r="U36" s="292"/>
      <c r="V36" s="292"/>
      <c r="W36" s="293"/>
      <c r="X36" s="294"/>
      <c r="Y36" s="295"/>
      <c r="Z36" s="295"/>
      <c r="AA36" s="295"/>
      <c r="AB36" s="294"/>
      <c r="AC36" s="295"/>
      <c r="AD36" s="295"/>
      <c r="AE36" s="295"/>
      <c r="AF36" s="295"/>
      <c r="AG36" s="295"/>
      <c r="AH36" s="299"/>
      <c r="AI36" s="240"/>
    </row>
    <row r="37" spans="1:35">
      <c r="A37" s="544"/>
      <c r="B37" s="233"/>
      <c r="C37" s="233"/>
      <c r="D37" s="234" t="s">
        <v>234</v>
      </c>
      <c r="E37" s="542"/>
      <c r="F37" s="512"/>
      <c r="G37" s="502"/>
      <c r="H37" s="243"/>
      <c r="I37" s="252"/>
      <c r="J37" s="243"/>
      <c r="K37" s="504"/>
      <c r="L37" s="478"/>
      <c r="M37" s="492"/>
      <c r="N37" s="457"/>
      <c r="O37" s="234"/>
      <c r="P37" s="279"/>
      <c r="Q37" s="471"/>
      <c r="R37" s="473"/>
      <c r="S37" s="462"/>
      <c r="T37" s="292"/>
      <c r="U37" s="292"/>
      <c r="V37" s="292"/>
      <c r="W37" s="293"/>
      <c r="X37" s="294"/>
      <c r="Y37" s="295"/>
      <c r="Z37" s="295"/>
      <c r="AA37" s="295"/>
      <c r="AB37" s="294"/>
      <c r="AC37" s="295"/>
      <c r="AD37" s="295"/>
      <c r="AE37" s="295"/>
      <c r="AF37" s="295"/>
      <c r="AG37" s="295"/>
      <c r="AH37" s="299"/>
      <c r="AI37" s="240"/>
    </row>
    <row r="38" spans="1:35">
      <c r="A38" s="544"/>
      <c r="B38" s="233"/>
      <c r="C38" s="233"/>
      <c r="D38" s="234" t="s">
        <v>235</v>
      </c>
      <c r="E38" s="542"/>
      <c r="F38" s="512"/>
      <c r="G38" s="502"/>
      <c r="H38" s="243"/>
      <c r="I38" s="252"/>
      <c r="J38" s="243"/>
      <c r="K38" s="504"/>
      <c r="L38" s="478"/>
      <c r="M38" s="492"/>
      <c r="N38" s="457"/>
      <c r="O38" s="234">
        <v>3.26</v>
      </c>
      <c r="P38" s="279">
        <v>8.0894999999999992</v>
      </c>
      <c r="Q38" s="471"/>
      <c r="R38" s="473"/>
      <c r="S38" s="462"/>
      <c r="T38" s="292"/>
      <c r="U38" s="292"/>
      <c r="V38" s="292"/>
      <c r="W38" s="293"/>
      <c r="X38" s="294"/>
      <c r="Y38" s="295"/>
      <c r="Z38" s="295"/>
      <c r="AA38" s="295"/>
      <c r="AB38" s="294"/>
      <c r="AC38" s="295"/>
      <c r="AD38" s="295"/>
      <c r="AE38" s="295"/>
      <c r="AF38" s="295"/>
      <c r="AG38" s="295"/>
      <c r="AH38" s="299"/>
      <c r="AI38" s="240"/>
    </row>
    <row r="39" spans="1:35">
      <c r="A39" s="544"/>
      <c r="B39" s="233"/>
      <c r="C39" s="233"/>
      <c r="D39" s="234" t="s">
        <v>236</v>
      </c>
      <c r="E39" s="542"/>
      <c r="F39" s="512"/>
      <c r="G39" s="502"/>
      <c r="H39" s="243"/>
      <c r="I39" s="252"/>
      <c r="J39" s="243"/>
      <c r="K39" s="504"/>
      <c r="L39" s="478"/>
      <c r="M39" s="492"/>
      <c r="N39" s="457"/>
      <c r="O39" s="234">
        <v>0.39</v>
      </c>
      <c r="P39" s="279">
        <v>0.80600000000000005</v>
      </c>
      <c r="Q39" s="471"/>
      <c r="R39" s="473"/>
      <c r="S39" s="462"/>
      <c r="T39" s="292"/>
      <c r="U39" s="292"/>
      <c r="V39" s="292"/>
      <c r="W39" s="293"/>
      <c r="X39" s="294"/>
      <c r="Y39" s="295"/>
      <c r="Z39" s="295"/>
      <c r="AA39" s="295"/>
      <c r="AB39" s="294"/>
      <c r="AC39" s="295"/>
      <c r="AD39" s="295"/>
      <c r="AE39" s="295"/>
      <c r="AF39" s="295"/>
      <c r="AG39" s="295"/>
      <c r="AH39" s="299"/>
      <c r="AI39" s="240"/>
    </row>
    <row r="40" spans="1:35">
      <c r="A40" s="544"/>
      <c r="B40" s="233"/>
      <c r="C40" s="233"/>
      <c r="D40" s="234" t="s">
        <v>251</v>
      </c>
      <c r="E40" s="542"/>
      <c r="F40" s="512"/>
      <c r="G40" s="502"/>
      <c r="H40" s="243"/>
      <c r="I40" s="252"/>
      <c r="J40" s="243"/>
      <c r="K40" s="504"/>
      <c r="L40" s="478"/>
      <c r="M40" s="492"/>
      <c r="N40" s="457"/>
      <c r="O40" s="234"/>
      <c r="P40" s="279"/>
      <c r="Q40" s="471"/>
      <c r="R40" s="473"/>
      <c r="S40" s="462"/>
      <c r="T40" s="292"/>
      <c r="U40" s="292"/>
      <c r="V40" s="292"/>
      <c r="W40" s="293"/>
      <c r="X40" s="294"/>
      <c r="Y40" s="295"/>
      <c r="Z40" s="295"/>
      <c r="AA40" s="295"/>
      <c r="AB40" s="294"/>
      <c r="AC40" s="295"/>
      <c r="AD40" s="295"/>
      <c r="AE40" s="295"/>
      <c r="AF40" s="295"/>
      <c r="AG40" s="295"/>
      <c r="AH40" s="299"/>
      <c r="AI40" s="240"/>
    </row>
    <row r="41" spans="1:35">
      <c r="A41" s="544"/>
      <c r="B41" s="233"/>
      <c r="C41" s="233"/>
      <c r="D41" s="234" t="s">
        <v>237</v>
      </c>
      <c r="E41" s="543"/>
      <c r="F41" s="512"/>
      <c r="G41" s="502"/>
      <c r="H41" s="255"/>
      <c r="I41" s="275"/>
      <c r="J41" s="255"/>
      <c r="K41" s="504"/>
      <c r="L41" s="479"/>
      <c r="M41" s="493"/>
      <c r="N41" s="458"/>
      <c r="O41" s="249"/>
      <c r="P41" s="280"/>
      <c r="Q41" s="472"/>
      <c r="R41" s="473"/>
      <c r="S41" s="462"/>
      <c r="T41" s="292"/>
      <c r="U41" s="292"/>
      <c r="V41" s="292"/>
      <c r="W41" s="293"/>
      <c r="X41" s="294"/>
      <c r="Y41" s="295"/>
      <c r="Z41" s="295"/>
      <c r="AA41" s="295"/>
      <c r="AB41" s="294"/>
      <c r="AC41" s="295"/>
      <c r="AD41" s="295"/>
      <c r="AE41" s="295"/>
      <c r="AF41" s="295"/>
      <c r="AG41" s="295"/>
      <c r="AH41" s="299"/>
      <c r="AI41" s="240"/>
    </row>
    <row r="42" spans="1:35" ht="38.25">
      <c r="A42" s="457" t="s">
        <v>252</v>
      </c>
      <c r="B42" s="253" t="s">
        <v>253</v>
      </c>
      <c r="C42" s="253" t="s">
        <v>254</v>
      </c>
      <c r="D42" s="250" t="s">
        <v>204</v>
      </c>
      <c r="E42" s="541"/>
      <c r="F42" s="516">
        <v>45813</v>
      </c>
      <c r="G42" s="537" t="s">
        <v>98</v>
      </c>
      <c r="H42" s="522">
        <v>2180</v>
      </c>
      <c r="I42" s="271"/>
      <c r="J42" s="272"/>
      <c r="K42" s="524" t="s">
        <v>205</v>
      </c>
      <c r="L42" s="488">
        <v>45830</v>
      </c>
      <c r="M42" s="491" t="s">
        <v>98</v>
      </c>
      <c r="N42" s="456">
        <v>804</v>
      </c>
      <c r="O42" s="250">
        <v>2.91</v>
      </c>
      <c r="P42" s="281">
        <v>16.4894</v>
      </c>
      <c r="Q42" s="471" t="s">
        <v>205</v>
      </c>
      <c r="R42" s="473"/>
      <c r="S42" s="462"/>
      <c r="T42" s="292"/>
      <c r="U42" s="292"/>
      <c r="V42" s="292"/>
      <c r="W42" s="293"/>
      <c r="X42" s="294"/>
      <c r="Y42" s="295"/>
      <c r="Z42" s="295"/>
      <c r="AA42" s="295"/>
      <c r="AB42" s="294"/>
      <c r="AC42" s="295"/>
      <c r="AD42" s="295"/>
      <c r="AE42" s="295"/>
      <c r="AF42" s="295"/>
      <c r="AG42" s="295"/>
      <c r="AH42" s="262"/>
      <c r="AI42" s="238"/>
    </row>
    <row r="43" spans="1:35">
      <c r="A43" s="457"/>
      <c r="B43" s="233" t="s">
        <v>255</v>
      </c>
      <c r="C43" s="233"/>
      <c r="D43" s="234" t="s">
        <v>208</v>
      </c>
      <c r="E43" s="542"/>
      <c r="F43" s="517"/>
      <c r="G43" s="492"/>
      <c r="H43" s="457"/>
      <c r="I43" s="252">
        <v>1.18</v>
      </c>
      <c r="J43" s="243"/>
      <c r="K43" s="525"/>
      <c r="L43" s="489"/>
      <c r="M43" s="492"/>
      <c r="N43" s="457"/>
      <c r="O43" s="234">
        <v>1.04</v>
      </c>
      <c r="P43" s="279">
        <v>1.3619000000000001</v>
      </c>
      <c r="Q43" s="471"/>
      <c r="R43" s="473"/>
      <c r="S43" s="462"/>
      <c r="T43" s="292"/>
      <c r="U43" s="292"/>
      <c r="V43" s="292"/>
      <c r="W43" s="293"/>
      <c r="X43" s="294"/>
      <c r="Y43" s="295"/>
      <c r="Z43" s="295"/>
      <c r="AA43" s="295"/>
      <c r="AB43" s="294"/>
      <c r="AC43" s="295"/>
      <c r="AD43" s="295"/>
      <c r="AE43" s="295"/>
      <c r="AF43" s="295"/>
      <c r="AG43" s="295"/>
      <c r="AH43" s="262"/>
      <c r="AI43" s="238"/>
    </row>
    <row r="44" spans="1:35">
      <c r="A44" s="457"/>
      <c r="B44" s="233" t="s">
        <v>256</v>
      </c>
      <c r="C44" s="233" t="s">
        <v>257</v>
      </c>
      <c r="D44" s="234" t="s">
        <v>210</v>
      </c>
      <c r="E44" s="542"/>
      <c r="F44" s="517"/>
      <c r="G44" s="492"/>
      <c r="H44" s="457"/>
      <c r="I44" s="252">
        <v>2.34</v>
      </c>
      <c r="J44" s="243"/>
      <c r="K44" s="525"/>
      <c r="L44" s="489"/>
      <c r="M44" s="492"/>
      <c r="N44" s="457"/>
      <c r="O44" s="234">
        <v>2.65</v>
      </c>
      <c r="P44" s="279">
        <v>3.6096000000000004</v>
      </c>
      <c r="Q44" s="471"/>
      <c r="R44" s="473"/>
      <c r="S44" s="462"/>
      <c r="T44" s="292"/>
      <c r="U44" s="292"/>
      <c r="V44" s="292"/>
      <c r="W44" s="293"/>
      <c r="X44" s="294"/>
      <c r="Y44" s="295"/>
      <c r="Z44" s="295"/>
      <c r="AA44" s="295"/>
      <c r="AB44" s="294"/>
      <c r="AC44" s="295"/>
      <c r="AD44" s="295"/>
      <c r="AE44" s="295"/>
      <c r="AF44" s="295"/>
      <c r="AG44" s="295"/>
      <c r="AH44" s="262"/>
      <c r="AI44" s="238"/>
    </row>
    <row r="45" spans="1:35">
      <c r="A45" s="457"/>
      <c r="B45" s="233" t="s">
        <v>258</v>
      </c>
      <c r="C45" s="252"/>
      <c r="D45" s="234" t="s">
        <v>213</v>
      </c>
      <c r="E45" s="542"/>
      <c r="F45" s="517"/>
      <c r="G45" s="492"/>
      <c r="H45" s="457"/>
      <c r="I45" s="252">
        <v>0.6</v>
      </c>
      <c r="J45" s="243"/>
      <c r="K45" s="525"/>
      <c r="L45" s="489"/>
      <c r="M45" s="492"/>
      <c r="N45" s="457"/>
      <c r="O45" s="234">
        <v>0.5</v>
      </c>
      <c r="P45" s="279">
        <v>1.0604</v>
      </c>
      <c r="Q45" s="471"/>
      <c r="R45" s="473"/>
      <c r="S45" s="462"/>
      <c r="T45" s="292"/>
      <c r="U45" s="292"/>
      <c r="V45" s="292"/>
      <c r="W45" s="293"/>
      <c r="X45" s="294"/>
      <c r="Y45" s="295"/>
      <c r="Z45" s="295"/>
      <c r="AA45" s="295"/>
      <c r="AB45" s="294"/>
      <c r="AC45" s="295"/>
      <c r="AD45" s="295"/>
      <c r="AE45" s="295"/>
      <c r="AF45" s="295"/>
      <c r="AG45" s="295"/>
      <c r="AH45" s="262"/>
      <c r="AI45" s="238"/>
    </row>
    <row r="46" spans="1:35">
      <c r="A46" s="457"/>
      <c r="B46" s="233"/>
      <c r="C46" s="252"/>
      <c r="D46" s="234" t="s">
        <v>259</v>
      </c>
      <c r="E46" s="542"/>
      <c r="F46" s="517"/>
      <c r="G46" s="492"/>
      <c r="H46" s="457"/>
      <c r="I46" s="252">
        <v>2.19</v>
      </c>
      <c r="J46" s="243"/>
      <c r="K46" s="525"/>
      <c r="L46" s="489"/>
      <c r="M46" s="492"/>
      <c r="N46" s="457"/>
      <c r="O46" s="234">
        <v>0.35</v>
      </c>
      <c r="P46" s="279">
        <v>1.5140000000000031</v>
      </c>
      <c r="Q46" s="471"/>
      <c r="R46" s="473"/>
      <c r="S46" s="462"/>
      <c r="T46" s="292"/>
      <c r="U46" s="292"/>
      <c r="V46" s="292"/>
      <c r="W46" s="293"/>
      <c r="X46" s="294"/>
      <c r="Y46" s="295"/>
      <c r="Z46" s="295"/>
      <c r="AA46" s="295"/>
      <c r="AB46" s="294"/>
      <c r="AC46" s="295"/>
      <c r="AD46" s="295"/>
      <c r="AE46" s="295"/>
      <c r="AF46" s="295"/>
      <c r="AG46" s="295"/>
      <c r="AH46" s="262"/>
      <c r="AI46" s="238"/>
    </row>
    <row r="47" spans="1:35">
      <c r="A47" s="457"/>
      <c r="B47" s="233"/>
      <c r="C47" s="252"/>
      <c r="D47" s="234" t="s">
        <v>260</v>
      </c>
      <c r="E47" s="542"/>
      <c r="F47" s="517"/>
      <c r="G47" s="492"/>
      <c r="H47" s="457"/>
      <c r="I47" s="252"/>
      <c r="J47" s="243"/>
      <c r="K47" s="525"/>
      <c r="L47" s="489"/>
      <c r="M47" s="492"/>
      <c r="N47" s="457"/>
      <c r="O47" s="234"/>
      <c r="P47" s="279"/>
      <c r="Q47" s="471"/>
      <c r="R47" s="473"/>
      <c r="S47" s="462"/>
      <c r="T47" s="292"/>
      <c r="U47" s="292"/>
      <c r="V47" s="292"/>
      <c r="W47" s="293"/>
      <c r="X47" s="294"/>
      <c r="Y47" s="295"/>
      <c r="Z47" s="295"/>
      <c r="AA47" s="295"/>
      <c r="AB47" s="294"/>
      <c r="AC47" s="295"/>
      <c r="AD47" s="295"/>
      <c r="AE47" s="295"/>
      <c r="AF47" s="295"/>
      <c r="AG47" s="295"/>
      <c r="AH47" s="262"/>
      <c r="AI47" s="238"/>
    </row>
    <row r="48" spans="1:35">
      <c r="A48" s="457"/>
      <c r="B48" s="233"/>
      <c r="C48" s="252"/>
      <c r="D48" s="234" t="s">
        <v>261</v>
      </c>
      <c r="E48" s="542"/>
      <c r="F48" s="517"/>
      <c r="G48" s="492"/>
      <c r="H48" s="457"/>
      <c r="I48" s="252">
        <v>2.5499999999999998</v>
      </c>
      <c r="J48" s="243"/>
      <c r="K48" s="525"/>
      <c r="L48" s="489"/>
      <c r="M48" s="492"/>
      <c r="N48" s="457"/>
      <c r="O48" s="234">
        <v>1.65</v>
      </c>
      <c r="P48" s="279">
        <v>2.0225000000000013</v>
      </c>
      <c r="Q48" s="471"/>
      <c r="R48" s="473"/>
      <c r="S48" s="462"/>
      <c r="T48" s="292"/>
      <c r="U48" s="292"/>
      <c r="V48" s="292"/>
      <c r="W48" s="293"/>
      <c r="X48" s="294"/>
      <c r="Y48" s="295"/>
      <c r="Z48" s="295"/>
      <c r="AA48" s="295"/>
      <c r="AB48" s="294"/>
      <c r="AC48" s="295"/>
      <c r="AD48" s="295"/>
      <c r="AE48" s="295"/>
      <c r="AF48" s="295"/>
      <c r="AG48" s="295"/>
      <c r="AH48" s="262"/>
      <c r="AI48" s="238"/>
    </row>
    <row r="49" spans="1:35">
      <c r="A49" s="515"/>
      <c r="B49" s="233"/>
      <c r="C49" s="252"/>
      <c r="D49" s="234" t="s">
        <v>237</v>
      </c>
      <c r="E49" s="543"/>
      <c r="F49" s="518"/>
      <c r="G49" s="548"/>
      <c r="H49" s="523"/>
      <c r="I49" s="273"/>
      <c r="J49" s="274"/>
      <c r="K49" s="526"/>
      <c r="L49" s="490"/>
      <c r="M49" s="493"/>
      <c r="N49" s="458"/>
      <c r="O49" s="249"/>
      <c r="P49" s="280"/>
      <c r="Q49" s="471"/>
      <c r="R49" s="473"/>
      <c r="S49" s="462"/>
      <c r="T49" s="292"/>
      <c r="U49" s="292"/>
      <c r="V49" s="292"/>
      <c r="W49" s="293"/>
      <c r="X49" s="294"/>
      <c r="Y49" s="295"/>
      <c r="Z49" s="295"/>
      <c r="AA49" s="295"/>
      <c r="AB49" s="294"/>
      <c r="AC49" s="295"/>
      <c r="AD49" s="295"/>
      <c r="AE49" s="295"/>
      <c r="AF49" s="295"/>
      <c r="AG49" s="295"/>
      <c r="AH49" s="262"/>
      <c r="AI49" s="238"/>
    </row>
    <row r="50" spans="1:35">
      <c r="A50" s="520" t="s">
        <v>262</v>
      </c>
      <c r="B50" s="233" t="s">
        <v>263</v>
      </c>
      <c r="C50" s="233" t="s">
        <v>203</v>
      </c>
      <c r="D50" s="256" t="s">
        <v>204</v>
      </c>
      <c r="E50" s="530"/>
      <c r="F50" s="500">
        <v>45813</v>
      </c>
      <c r="G50" s="534" t="s">
        <v>98</v>
      </c>
      <c r="H50" s="457">
        <v>6014</v>
      </c>
      <c r="I50" s="276"/>
      <c r="J50" s="250"/>
      <c r="K50" s="551" t="s">
        <v>205</v>
      </c>
      <c r="L50" s="494">
        <v>45830</v>
      </c>
      <c r="M50" s="497" t="s">
        <v>98</v>
      </c>
      <c r="N50" s="456">
        <v>69773</v>
      </c>
      <c r="O50" s="250">
        <v>2.91</v>
      </c>
      <c r="P50" s="281">
        <v>16.4894</v>
      </c>
      <c r="Q50" s="463" t="s">
        <v>205</v>
      </c>
      <c r="R50" s="296"/>
      <c r="S50" s="293"/>
      <c r="T50" s="292"/>
      <c r="U50" s="292"/>
      <c r="V50" s="292"/>
      <c r="W50" s="293"/>
      <c r="X50" s="294"/>
      <c r="Y50" s="295"/>
      <c r="Z50" s="295"/>
      <c r="AA50" s="295"/>
      <c r="AB50" s="294"/>
      <c r="AC50" s="295"/>
      <c r="AD50" s="295"/>
      <c r="AE50" s="295"/>
      <c r="AF50" s="295"/>
      <c r="AG50" s="295"/>
      <c r="AH50" s="262"/>
      <c r="AI50" s="238"/>
    </row>
    <row r="51" spans="1:35">
      <c r="A51" s="520"/>
      <c r="B51" s="233" t="s">
        <v>264</v>
      </c>
      <c r="C51" s="233" t="s">
        <v>207</v>
      </c>
      <c r="D51" s="256" t="s">
        <v>208</v>
      </c>
      <c r="E51" s="531"/>
      <c r="F51" s="478"/>
      <c r="G51" s="492" t="s">
        <v>98</v>
      </c>
      <c r="H51" s="457"/>
      <c r="I51" s="252">
        <v>1.18</v>
      </c>
      <c r="J51" s="234"/>
      <c r="K51" s="552"/>
      <c r="L51" s="495">
        <v>45813</v>
      </c>
      <c r="M51" s="498" t="s">
        <v>98</v>
      </c>
      <c r="N51" s="457"/>
      <c r="O51" s="234">
        <v>1.04</v>
      </c>
      <c r="P51" s="279">
        <v>1.3619000000000001</v>
      </c>
      <c r="Q51" s="464"/>
      <c r="R51" s="296"/>
      <c r="S51" s="293"/>
      <c r="T51" s="292"/>
      <c r="U51" s="292"/>
      <c r="V51" s="292"/>
      <c r="W51" s="293"/>
      <c r="X51" s="294"/>
      <c r="Y51" s="295"/>
      <c r="Z51" s="295"/>
      <c r="AA51" s="295"/>
      <c r="AB51" s="294"/>
      <c r="AC51" s="295"/>
      <c r="AD51" s="295"/>
      <c r="AE51" s="295"/>
      <c r="AF51" s="295"/>
      <c r="AG51" s="295"/>
      <c r="AH51" s="262"/>
      <c r="AI51" s="238"/>
    </row>
    <row r="52" spans="1:35">
      <c r="A52" s="520"/>
      <c r="B52" s="233" t="s">
        <v>209</v>
      </c>
      <c r="C52" s="233" t="s">
        <v>207</v>
      </c>
      <c r="D52" s="256" t="s">
        <v>210</v>
      </c>
      <c r="E52" s="531"/>
      <c r="F52" s="478"/>
      <c r="G52" s="492" t="s">
        <v>98</v>
      </c>
      <c r="H52" s="457"/>
      <c r="I52" s="252">
        <v>2.34</v>
      </c>
      <c r="J52" s="234"/>
      <c r="K52" s="552"/>
      <c r="L52" s="495">
        <v>45813</v>
      </c>
      <c r="M52" s="498" t="s">
        <v>98</v>
      </c>
      <c r="N52" s="457"/>
      <c r="O52" s="234">
        <v>2.65</v>
      </c>
      <c r="P52" s="279">
        <v>3.6096000000000004</v>
      </c>
      <c r="Q52" s="464"/>
      <c r="R52" s="296"/>
      <c r="S52" s="293"/>
      <c r="T52" s="292"/>
      <c r="U52" s="292"/>
      <c r="V52" s="292"/>
      <c r="W52" s="293"/>
      <c r="X52" s="294"/>
      <c r="Y52" s="295"/>
      <c r="Z52" s="295"/>
      <c r="AA52" s="295"/>
      <c r="AB52" s="294"/>
      <c r="AC52" s="295"/>
      <c r="AD52" s="295"/>
      <c r="AE52" s="295"/>
      <c r="AF52" s="295"/>
      <c r="AG52" s="295"/>
      <c r="AH52" s="262"/>
      <c r="AI52" s="238"/>
    </row>
    <row r="53" spans="1:35">
      <c r="A53" s="520"/>
      <c r="B53" s="233" t="s">
        <v>211</v>
      </c>
      <c r="C53" s="233" t="s">
        <v>265</v>
      </c>
      <c r="D53" s="256" t="s">
        <v>213</v>
      </c>
      <c r="E53" s="531"/>
      <c r="F53" s="478"/>
      <c r="G53" s="492" t="s">
        <v>98</v>
      </c>
      <c r="H53" s="457"/>
      <c r="I53" s="252">
        <v>0.6</v>
      </c>
      <c r="J53" s="234"/>
      <c r="K53" s="552"/>
      <c r="L53" s="495">
        <v>45813</v>
      </c>
      <c r="M53" s="498" t="s">
        <v>98</v>
      </c>
      <c r="N53" s="457"/>
      <c r="O53" s="234">
        <v>0.5</v>
      </c>
      <c r="P53" s="279">
        <v>1.0604</v>
      </c>
      <c r="Q53" s="464"/>
      <c r="R53" s="296"/>
      <c r="S53" s="293"/>
      <c r="T53" s="292"/>
      <c r="U53" s="292"/>
      <c r="V53" s="292"/>
      <c r="W53" s="293"/>
      <c r="X53" s="294"/>
      <c r="Y53" s="295"/>
      <c r="Z53" s="295"/>
      <c r="AA53" s="295"/>
      <c r="AB53" s="294"/>
      <c r="AC53" s="295"/>
      <c r="AD53" s="295"/>
      <c r="AE53" s="295"/>
      <c r="AF53" s="295"/>
      <c r="AG53" s="295"/>
      <c r="AH53" s="262"/>
      <c r="AI53" s="238"/>
    </row>
    <row r="54" spans="1:35">
      <c r="A54" s="520"/>
      <c r="B54" s="233" t="s">
        <v>214</v>
      </c>
      <c r="C54" s="233" t="s">
        <v>215</v>
      </c>
      <c r="D54" s="256" t="s">
        <v>216</v>
      </c>
      <c r="E54" s="531"/>
      <c r="F54" s="478"/>
      <c r="G54" s="492" t="s">
        <v>98</v>
      </c>
      <c r="H54" s="457"/>
      <c r="I54" s="234">
        <v>2.16</v>
      </c>
      <c r="J54" s="234"/>
      <c r="K54" s="552"/>
      <c r="L54" s="495">
        <v>45813</v>
      </c>
      <c r="M54" s="498" t="s">
        <v>98</v>
      </c>
      <c r="N54" s="457"/>
      <c r="O54" s="234">
        <v>0.35</v>
      </c>
      <c r="P54" s="279">
        <v>4.0591999999999997</v>
      </c>
      <c r="Q54" s="464"/>
      <c r="R54" s="296"/>
      <c r="S54" s="293"/>
      <c r="T54" s="292"/>
      <c r="U54" s="292"/>
      <c r="V54" s="292"/>
      <c r="W54" s="293"/>
      <c r="X54" s="294"/>
      <c r="Y54" s="295"/>
      <c r="Z54" s="295"/>
      <c r="AA54" s="295"/>
      <c r="AB54" s="294"/>
      <c r="AC54" s="295"/>
      <c r="AD54" s="295"/>
      <c r="AE54" s="295"/>
      <c r="AF54" s="295"/>
      <c r="AG54" s="295"/>
      <c r="AH54" s="262"/>
      <c r="AI54" s="238"/>
    </row>
    <row r="55" spans="1:35" ht="25.5">
      <c r="A55" s="520"/>
      <c r="B55" s="233" t="s">
        <v>217</v>
      </c>
      <c r="C55" s="233" t="s">
        <v>266</v>
      </c>
      <c r="D55" s="256" t="s">
        <v>267</v>
      </c>
      <c r="E55" s="531"/>
      <c r="F55" s="478"/>
      <c r="G55" s="492" t="s">
        <v>98</v>
      </c>
      <c r="H55" s="457"/>
      <c r="I55" s="234"/>
      <c r="J55" s="234"/>
      <c r="K55" s="552"/>
      <c r="L55" s="495">
        <v>45813</v>
      </c>
      <c r="M55" s="498" t="s">
        <v>98</v>
      </c>
      <c r="N55" s="457"/>
      <c r="O55" s="234"/>
      <c r="P55" s="279"/>
      <c r="Q55" s="464"/>
      <c r="R55" s="296"/>
      <c r="S55" s="293"/>
      <c r="T55" s="292"/>
      <c r="U55" s="292"/>
      <c r="V55" s="292"/>
      <c r="W55" s="293"/>
      <c r="X55" s="294"/>
      <c r="Y55" s="295"/>
      <c r="Z55" s="295"/>
      <c r="AA55" s="295"/>
      <c r="AB55" s="294"/>
      <c r="AC55" s="295"/>
      <c r="AD55" s="295"/>
      <c r="AE55" s="295"/>
      <c r="AF55" s="295"/>
      <c r="AG55" s="295"/>
      <c r="AH55" s="262"/>
      <c r="AI55" s="238"/>
    </row>
    <row r="56" spans="1:35">
      <c r="A56" s="520"/>
      <c r="B56" s="233" t="s">
        <v>220</v>
      </c>
      <c r="C56" s="233"/>
      <c r="D56" s="256" t="s">
        <v>221</v>
      </c>
      <c r="E56" s="531"/>
      <c r="F56" s="478"/>
      <c r="G56" s="492" t="s">
        <v>98</v>
      </c>
      <c r="H56" s="457"/>
      <c r="I56" s="234">
        <v>1.68</v>
      </c>
      <c r="J56" s="234"/>
      <c r="K56" s="552"/>
      <c r="L56" s="495">
        <v>45813</v>
      </c>
      <c r="M56" s="498" t="s">
        <v>98</v>
      </c>
      <c r="N56" s="457"/>
      <c r="O56" s="234">
        <v>1.53</v>
      </c>
      <c r="P56" s="279">
        <v>2.1529000000000003</v>
      </c>
      <c r="Q56" s="464"/>
      <c r="R56" s="296"/>
      <c r="S56" s="293"/>
      <c r="T56" s="292"/>
      <c r="U56" s="292"/>
      <c r="V56" s="292"/>
      <c r="W56" s="293"/>
      <c r="X56" s="294"/>
      <c r="Y56" s="295"/>
      <c r="Z56" s="295"/>
      <c r="AA56" s="295"/>
      <c r="AB56" s="294"/>
      <c r="AC56" s="295"/>
      <c r="AD56" s="295"/>
      <c r="AE56" s="295"/>
      <c r="AF56" s="295"/>
      <c r="AG56" s="295"/>
      <c r="AH56" s="262"/>
      <c r="AI56" s="238"/>
    </row>
    <row r="57" spans="1:35">
      <c r="A57" s="520"/>
      <c r="B57" s="233" t="s">
        <v>268</v>
      </c>
      <c r="C57" s="233" t="s">
        <v>207</v>
      </c>
      <c r="D57" s="256" t="s">
        <v>234</v>
      </c>
      <c r="E57" s="531"/>
      <c r="F57" s="478"/>
      <c r="G57" s="492" t="s">
        <v>98</v>
      </c>
      <c r="H57" s="457"/>
      <c r="I57" s="234"/>
      <c r="J57" s="234"/>
      <c r="K57" s="552"/>
      <c r="L57" s="495">
        <v>45813</v>
      </c>
      <c r="M57" s="498" t="s">
        <v>98</v>
      </c>
      <c r="N57" s="457"/>
      <c r="O57" s="234"/>
      <c r="P57" s="279"/>
      <c r="Q57" s="464"/>
      <c r="R57" s="296"/>
      <c r="S57" s="293"/>
      <c r="T57" s="292"/>
      <c r="U57" s="292"/>
      <c r="V57" s="292"/>
      <c r="W57" s="293"/>
      <c r="X57" s="294"/>
      <c r="Y57" s="295"/>
      <c r="Z57" s="295"/>
      <c r="AA57" s="295"/>
      <c r="AB57" s="294"/>
      <c r="AC57" s="295"/>
      <c r="AD57" s="295"/>
      <c r="AE57" s="295"/>
      <c r="AF57" s="295"/>
      <c r="AG57" s="295"/>
      <c r="AH57" s="262"/>
      <c r="AI57" s="238"/>
    </row>
    <row r="58" spans="1:35">
      <c r="A58" s="520"/>
      <c r="B58" s="233" t="s">
        <v>269</v>
      </c>
      <c r="C58" s="233" t="s">
        <v>215</v>
      </c>
      <c r="D58" s="256" t="s">
        <v>223</v>
      </c>
      <c r="E58" s="531"/>
      <c r="F58" s="478"/>
      <c r="G58" s="492" t="s">
        <v>98</v>
      </c>
      <c r="H58" s="457"/>
      <c r="I58" s="234">
        <v>1.34</v>
      </c>
      <c r="J58" s="234"/>
      <c r="K58" s="552"/>
      <c r="L58" s="495">
        <v>45813</v>
      </c>
      <c r="M58" s="498" t="s">
        <v>98</v>
      </c>
      <c r="N58" s="457"/>
      <c r="O58" s="234">
        <v>1.41</v>
      </c>
      <c r="P58" s="279">
        <v>2.0984000000000003</v>
      </c>
      <c r="Q58" s="464"/>
      <c r="R58" s="296"/>
      <c r="S58" s="293"/>
      <c r="T58" s="292"/>
      <c r="U58" s="292"/>
      <c r="V58" s="292"/>
      <c r="W58" s="293"/>
      <c r="X58" s="294"/>
      <c r="Y58" s="295"/>
      <c r="Z58" s="295"/>
      <c r="AA58" s="295"/>
      <c r="AB58" s="294"/>
      <c r="AC58" s="295"/>
      <c r="AD58" s="295"/>
      <c r="AE58" s="295"/>
      <c r="AF58" s="295"/>
      <c r="AG58" s="295"/>
      <c r="AH58" s="262"/>
      <c r="AI58" s="238"/>
    </row>
    <row r="59" spans="1:35">
      <c r="A59" s="520"/>
      <c r="B59" s="233" t="s">
        <v>270</v>
      </c>
      <c r="C59" s="233" t="s">
        <v>215</v>
      </c>
      <c r="D59" s="256" t="s">
        <v>271</v>
      </c>
      <c r="E59" s="531"/>
      <c r="F59" s="478"/>
      <c r="G59" s="492" t="s">
        <v>98</v>
      </c>
      <c r="H59" s="457"/>
      <c r="I59" s="234"/>
      <c r="J59" s="234"/>
      <c r="K59" s="552"/>
      <c r="L59" s="495">
        <v>45813</v>
      </c>
      <c r="M59" s="498" t="s">
        <v>98</v>
      </c>
      <c r="N59" s="457"/>
      <c r="O59" s="234"/>
      <c r="P59" s="279"/>
      <c r="Q59" s="464"/>
      <c r="R59" s="296"/>
      <c r="S59" s="293"/>
      <c r="T59" s="292"/>
      <c r="U59" s="292"/>
      <c r="V59" s="292"/>
      <c r="W59" s="293"/>
      <c r="X59" s="294"/>
      <c r="Y59" s="295"/>
      <c r="Z59" s="295"/>
      <c r="AA59" s="295"/>
      <c r="AB59" s="294"/>
      <c r="AC59" s="295"/>
      <c r="AD59" s="295"/>
      <c r="AE59" s="295"/>
      <c r="AF59" s="295"/>
      <c r="AG59" s="295"/>
      <c r="AH59" s="262"/>
      <c r="AI59" s="238"/>
    </row>
    <row r="60" spans="1:35">
      <c r="A60" s="520"/>
      <c r="B60" s="233" t="s">
        <v>272</v>
      </c>
      <c r="C60" s="233"/>
      <c r="D60" s="256" t="s">
        <v>225</v>
      </c>
      <c r="E60" s="531"/>
      <c r="F60" s="478"/>
      <c r="G60" s="492" t="s">
        <v>98</v>
      </c>
      <c r="H60" s="457"/>
      <c r="I60" s="234">
        <v>3.95</v>
      </c>
      <c r="J60" s="234"/>
      <c r="K60" s="552"/>
      <c r="L60" s="495">
        <v>45813</v>
      </c>
      <c r="M60" s="498" t="s">
        <v>98</v>
      </c>
      <c r="N60" s="457"/>
      <c r="O60" s="234">
        <v>3.97</v>
      </c>
      <c r="P60" s="279">
        <v>6.0853999999999999</v>
      </c>
      <c r="Q60" s="464"/>
      <c r="R60" s="296"/>
      <c r="S60" s="293"/>
      <c r="T60" s="292"/>
      <c r="U60" s="292"/>
      <c r="V60" s="292"/>
      <c r="W60" s="293"/>
      <c r="X60" s="294"/>
      <c r="Y60" s="295"/>
      <c r="Z60" s="295"/>
      <c r="AA60" s="295"/>
      <c r="AB60" s="294"/>
      <c r="AC60" s="295"/>
      <c r="AD60" s="295"/>
      <c r="AE60" s="295"/>
      <c r="AF60" s="295"/>
      <c r="AG60" s="295"/>
      <c r="AH60" s="262"/>
      <c r="AI60" s="238"/>
    </row>
    <row r="61" spans="1:35">
      <c r="A61" s="520"/>
      <c r="B61" s="233" t="s">
        <v>273</v>
      </c>
      <c r="C61" s="233"/>
      <c r="D61" s="256" t="s">
        <v>227</v>
      </c>
      <c r="E61" s="531"/>
      <c r="F61" s="478"/>
      <c r="G61" s="492" t="s">
        <v>98</v>
      </c>
      <c r="H61" s="457"/>
      <c r="I61" s="234">
        <v>2.38</v>
      </c>
      <c r="J61" s="234"/>
      <c r="K61" s="552"/>
      <c r="L61" s="495">
        <v>45813</v>
      </c>
      <c r="M61" s="498" t="s">
        <v>98</v>
      </c>
      <c r="N61" s="457"/>
      <c r="O61" s="234">
        <v>1.31</v>
      </c>
      <c r="P61" s="279">
        <v>10.594900000000001</v>
      </c>
      <c r="Q61" s="464"/>
      <c r="R61" s="296"/>
      <c r="S61" s="293"/>
      <c r="T61" s="292"/>
      <c r="U61" s="292"/>
      <c r="V61" s="292"/>
      <c r="W61" s="293"/>
      <c r="X61" s="294"/>
      <c r="Y61" s="295"/>
      <c r="Z61" s="295"/>
      <c r="AA61" s="295"/>
      <c r="AB61" s="294"/>
      <c r="AC61" s="295"/>
      <c r="AD61" s="295"/>
      <c r="AE61" s="295"/>
      <c r="AF61" s="295"/>
      <c r="AG61" s="295"/>
      <c r="AH61" s="262"/>
      <c r="AI61" s="238"/>
    </row>
    <row r="62" spans="1:35">
      <c r="A62" s="520"/>
      <c r="B62" s="233" t="s">
        <v>274</v>
      </c>
      <c r="C62" s="233" t="s">
        <v>207</v>
      </c>
      <c r="D62" s="256" t="s">
        <v>222</v>
      </c>
      <c r="E62" s="531"/>
      <c r="F62" s="478"/>
      <c r="G62" s="492" t="s">
        <v>98</v>
      </c>
      <c r="H62" s="457"/>
      <c r="I62" s="234"/>
      <c r="J62" s="234"/>
      <c r="K62" s="552"/>
      <c r="L62" s="495">
        <v>45813</v>
      </c>
      <c r="M62" s="498" t="s">
        <v>98</v>
      </c>
      <c r="N62" s="457"/>
      <c r="O62" s="234"/>
      <c r="P62" s="279"/>
      <c r="Q62" s="464"/>
      <c r="R62" s="296"/>
      <c r="S62" s="293"/>
      <c r="T62" s="292"/>
      <c r="U62" s="292"/>
      <c r="V62" s="292"/>
      <c r="W62" s="293"/>
      <c r="X62" s="294"/>
      <c r="Y62" s="295"/>
      <c r="Z62" s="295"/>
      <c r="AA62" s="295"/>
      <c r="AB62" s="294"/>
      <c r="AC62" s="295"/>
      <c r="AD62" s="295"/>
      <c r="AE62" s="295"/>
      <c r="AF62" s="295"/>
      <c r="AG62" s="295"/>
      <c r="AH62" s="262"/>
      <c r="AI62" s="238"/>
    </row>
    <row r="63" spans="1:35">
      <c r="A63" s="520"/>
      <c r="B63" s="233" t="s">
        <v>275</v>
      </c>
      <c r="C63" s="233"/>
      <c r="D63" s="256" t="s">
        <v>276</v>
      </c>
      <c r="E63" s="531"/>
      <c r="F63" s="478"/>
      <c r="G63" s="492" t="s">
        <v>98</v>
      </c>
      <c r="H63" s="457"/>
      <c r="I63" s="234">
        <v>3.02</v>
      </c>
      <c r="J63" s="234"/>
      <c r="K63" s="552"/>
      <c r="L63" s="495">
        <v>45813</v>
      </c>
      <c r="M63" s="498" t="s">
        <v>98</v>
      </c>
      <c r="N63" s="457"/>
      <c r="O63" s="234">
        <v>3.24</v>
      </c>
      <c r="P63" s="279">
        <v>6.0992000000000006</v>
      </c>
      <c r="Q63" s="464"/>
      <c r="R63" s="296"/>
      <c r="S63" s="293"/>
      <c r="T63" s="292"/>
      <c r="U63" s="292"/>
      <c r="V63" s="292"/>
      <c r="W63" s="293"/>
      <c r="X63" s="294"/>
      <c r="Y63" s="295"/>
      <c r="Z63" s="295"/>
      <c r="AA63" s="295"/>
      <c r="AB63" s="294"/>
      <c r="AC63" s="295"/>
      <c r="AD63" s="295"/>
      <c r="AE63" s="295"/>
      <c r="AF63" s="295"/>
      <c r="AG63" s="295"/>
      <c r="AH63" s="262"/>
      <c r="AI63" s="238"/>
    </row>
    <row r="64" spans="1:35">
      <c r="A64" s="520"/>
      <c r="B64" s="233" t="s">
        <v>277</v>
      </c>
      <c r="C64" s="233"/>
      <c r="D64" s="256" t="s">
        <v>278</v>
      </c>
      <c r="E64" s="531"/>
      <c r="F64" s="478"/>
      <c r="G64" s="492" t="s">
        <v>98</v>
      </c>
      <c r="H64" s="457"/>
      <c r="I64" s="234">
        <v>0.97</v>
      </c>
      <c r="J64" s="234"/>
      <c r="K64" s="552"/>
      <c r="L64" s="495">
        <v>45813</v>
      </c>
      <c r="M64" s="498" t="s">
        <v>98</v>
      </c>
      <c r="N64" s="457"/>
      <c r="O64" s="234">
        <v>0.03</v>
      </c>
      <c r="P64" s="279">
        <v>0.2165</v>
      </c>
      <c r="Q64" s="464"/>
      <c r="R64" s="296"/>
      <c r="S64" s="293"/>
      <c r="T64" s="292"/>
      <c r="U64" s="292"/>
      <c r="V64" s="292"/>
      <c r="W64" s="293"/>
      <c r="X64" s="294"/>
      <c r="Y64" s="295"/>
      <c r="Z64" s="295"/>
      <c r="AA64" s="295"/>
      <c r="AB64" s="294"/>
      <c r="AC64" s="295"/>
      <c r="AD64" s="295"/>
      <c r="AE64" s="295"/>
      <c r="AF64" s="295"/>
      <c r="AG64" s="295"/>
      <c r="AH64" s="262"/>
      <c r="AI64" s="238"/>
    </row>
    <row r="65" spans="1:35">
      <c r="A65" s="520"/>
      <c r="B65" s="233"/>
      <c r="C65" s="233"/>
      <c r="D65" s="256" t="s">
        <v>279</v>
      </c>
      <c r="E65" s="531"/>
      <c r="F65" s="478"/>
      <c r="G65" s="492"/>
      <c r="H65" s="457"/>
      <c r="I65" s="234">
        <v>1.07</v>
      </c>
      <c r="J65" s="234"/>
      <c r="K65" s="552"/>
      <c r="L65" s="495"/>
      <c r="M65" s="498"/>
      <c r="N65" s="457"/>
      <c r="O65" s="234">
        <v>0.45</v>
      </c>
      <c r="P65" s="279">
        <v>0.97540000000000004</v>
      </c>
      <c r="Q65" s="464"/>
      <c r="R65" s="296"/>
      <c r="S65" s="293"/>
      <c r="T65" s="292"/>
      <c r="U65" s="292"/>
      <c r="V65" s="292"/>
      <c r="W65" s="293"/>
      <c r="X65" s="294"/>
      <c r="Y65" s="295"/>
      <c r="Z65" s="295"/>
      <c r="AA65" s="295"/>
      <c r="AB65" s="294"/>
      <c r="AC65" s="295"/>
      <c r="AD65" s="295"/>
      <c r="AE65" s="295"/>
      <c r="AF65" s="295"/>
      <c r="AG65" s="295"/>
      <c r="AH65" s="262"/>
      <c r="AI65" s="238"/>
    </row>
    <row r="66" spans="1:35">
      <c r="A66" s="520"/>
      <c r="B66" s="233"/>
      <c r="C66" s="233"/>
      <c r="D66" s="256" t="s">
        <v>251</v>
      </c>
      <c r="E66" s="531"/>
      <c r="F66" s="478"/>
      <c r="G66" s="492"/>
      <c r="H66" s="457"/>
      <c r="I66" s="234"/>
      <c r="J66" s="234"/>
      <c r="K66" s="552"/>
      <c r="L66" s="495"/>
      <c r="M66" s="498"/>
      <c r="N66" s="457"/>
      <c r="O66" s="234"/>
      <c r="P66" s="279"/>
      <c r="Q66" s="464"/>
      <c r="R66" s="296"/>
      <c r="S66" s="293"/>
      <c r="T66" s="292"/>
      <c r="U66" s="292"/>
      <c r="V66" s="292"/>
      <c r="W66" s="293"/>
      <c r="X66" s="294"/>
      <c r="Y66" s="295"/>
      <c r="Z66" s="295"/>
      <c r="AA66" s="295"/>
      <c r="AB66" s="294"/>
      <c r="AC66" s="295"/>
      <c r="AD66" s="295"/>
      <c r="AE66" s="295"/>
      <c r="AF66" s="295"/>
      <c r="AG66" s="295"/>
      <c r="AH66" s="262"/>
      <c r="AI66" s="238"/>
    </row>
    <row r="67" spans="1:35">
      <c r="A67" s="520"/>
      <c r="B67" s="233"/>
      <c r="C67" s="233"/>
      <c r="D67" s="256" t="s">
        <v>237</v>
      </c>
      <c r="E67" s="532"/>
      <c r="F67" s="533"/>
      <c r="G67" s="535"/>
      <c r="H67" s="457"/>
      <c r="I67" s="257"/>
      <c r="J67" s="257"/>
      <c r="K67" s="553"/>
      <c r="L67" s="496"/>
      <c r="M67" s="499"/>
      <c r="N67" s="458"/>
      <c r="O67" s="249"/>
      <c r="P67" s="280"/>
      <c r="Q67" s="465"/>
      <c r="R67" s="296"/>
      <c r="S67" s="293"/>
      <c r="T67" s="292"/>
      <c r="U67" s="292"/>
      <c r="V67" s="292"/>
      <c r="W67" s="293"/>
      <c r="X67" s="294"/>
      <c r="Y67" s="295"/>
      <c r="Z67" s="295"/>
      <c r="AA67" s="295"/>
      <c r="AB67" s="294"/>
      <c r="AC67" s="295"/>
      <c r="AD67" s="295"/>
      <c r="AE67" s="295"/>
      <c r="AF67" s="295"/>
      <c r="AG67" s="295"/>
      <c r="AH67" s="262"/>
      <c r="AI67" s="238"/>
    </row>
    <row r="68" spans="1:35">
      <c r="A68" s="505" t="s">
        <v>280</v>
      </c>
      <c r="B68" s="233" t="s">
        <v>263</v>
      </c>
      <c r="C68" s="233" t="s">
        <v>203</v>
      </c>
      <c r="D68" s="233" t="s">
        <v>204</v>
      </c>
      <c r="E68" s="545"/>
      <c r="F68" s="516">
        <v>45813</v>
      </c>
      <c r="G68" s="537" t="s">
        <v>98</v>
      </c>
      <c r="H68" s="522">
        <v>6014</v>
      </c>
      <c r="I68" s="277"/>
      <c r="J68" s="277"/>
      <c r="K68" s="524" t="s">
        <v>205</v>
      </c>
      <c r="L68" s="483">
        <v>45830</v>
      </c>
      <c r="M68" s="486" t="s">
        <v>98</v>
      </c>
      <c r="N68" s="459">
        <v>44664</v>
      </c>
      <c r="O68" s="237">
        <v>2.91</v>
      </c>
      <c r="P68" s="278">
        <v>16.4894</v>
      </c>
      <c r="Q68" s="470" t="s">
        <v>205</v>
      </c>
      <c r="R68" s="296"/>
      <c r="S68" s="293"/>
      <c r="T68" s="292"/>
      <c r="U68" s="292"/>
      <c r="V68" s="292"/>
      <c r="W68" s="293"/>
      <c r="X68" s="294"/>
      <c r="Y68" s="295"/>
      <c r="Z68" s="295"/>
      <c r="AA68" s="295"/>
      <c r="AB68" s="294"/>
      <c r="AC68" s="295"/>
      <c r="AD68" s="295"/>
      <c r="AE68" s="295"/>
      <c r="AF68" s="295"/>
      <c r="AG68" s="295"/>
      <c r="AH68" s="262"/>
      <c r="AI68" s="238"/>
    </row>
    <row r="69" spans="1:35">
      <c r="A69" s="506"/>
      <c r="B69" s="233" t="s">
        <v>264</v>
      </c>
      <c r="C69" s="233" t="s">
        <v>207</v>
      </c>
      <c r="D69" s="233" t="s">
        <v>208</v>
      </c>
      <c r="E69" s="546"/>
      <c r="F69" s="517"/>
      <c r="G69" s="492"/>
      <c r="H69" s="457"/>
      <c r="I69" s="234">
        <v>1.18</v>
      </c>
      <c r="J69" s="234"/>
      <c r="K69" s="525"/>
      <c r="L69" s="484">
        <v>45830</v>
      </c>
      <c r="M69" s="487" t="s">
        <v>98</v>
      </c>
      <c r="N69" s="460"/>
      <c r="O69" s="234">
        <v>1.04</v>
      </c>
      <c r="P69" s="279">
        <v>1.3619000000000001</v>
      </c>
      <c r="Q69" s="471"/>
      <c r="R69" s="296"/>
      <c r="S69" s="293"/>
      <c r="T69" s="292"/>
      <c r="U69" s="292"/>
      <c r="V69" s="292"/>
      <c r="W69" s="293"/>
      <c r="X69" s="294"/>
      <c r="Y69" s="295"/>
      <c r="Z69" s="295"/>
      <c r="AA69" s="295"/>
      <c r="AB69" s="294"/>
      <c r="AC69" s="295"/>
      <c r="AD69" s="295"/>
      <c r="AE69" s="295"/>
      <c r="AF69" s="295"/>
      <c r="AG69" s="295"/>
      <c r="AH69" s="262"/>
      <c r="AI69" s="238"/>
    </row>
    <row r="70" spans="1:35" ht="27" customHeight="1">
      <c r="A70" s="506"/>
      <c r="B70" s="233" t="s">
        <v>281</v>
      </c>
      <c r="C70" s="233"/>
      <c r="D70" s="233" t="s">
        <v>210</v>
      </c>
      <c r="E70" s="546"/>
      <c r="F70" s="517"/>
      <c r="G70" s="492"/>
      <c r="H70" s="457"/>
      <c r="I70" s="234">
        <v>2.34</v>
      </c>
      <c r="J70" s="234"/>
      <c r="K70" s="525"/>
      <c r="L70" s="484">
        <v>45830</v>
      </c>
      <c r="M70" s="487" t="s">
        <v>98</v>
      </c>
      <c r="N70" s="460"/>
      <c r="O70" s="234">
        <v>2.65</v>
      </c>
      <c r="P70" s="279">
        <v>3.6096000000000004</v>
      </c>
      <c r="Q70" s="471"/>
      <c r="R70" s="296"/>
      <c r="S70" s="293"/>
      <c r="T70" s="292"/>
      <c r="U70" s="292"/>
      <c r="V70" s="292"/>
      <c r="W70" s="293"/>
      <c r="X70" s="294"/>
      <c r="Y70" s="295"/>
      <c r="Z70" s="295"/>
      <c r="AA70" s="295"/>
      <c r="AB70" s="294"/>
      <c r="AC70" s="295"/>
      <c r="AD70" s="295"/>
      <c r="AE70" s="295"/>
      <c r="AF70" s="295"/>
      <c r="AG70" s="295"/>
      <c r="AH70" s="262"/>
      <c r="AI70" s="238"/>
    </row>
    <row r="71" spans="1:35">
      <c r="A71" s="506"/>
      <c r="B71" s="233" t="s">
        <v>282</v>
      </c>
      <c r="C71" s="233" t="s">
        <v>207</v>
      </c>
      <c r="D71" s="233" t="s">
        <v>213</v>
      </c>
      <c r="E71" s="546"/>
      <c r="F71" s="517"/>
      <c r="G71" s="492"/>
      <c r="H71" s="457"/>
      <c r="I71" s="234">
        <v>0.6</v>
      </c>
      <c r="J71" s="234"/>
      <c r="K71" s="525"/>
      <c r="L71" s="484">
        <v>45830</v>
      </c>
      <c r="M71" s="487" t="s">
        <v>98</v>
      </c>
      <c r="N71" s="460"/>
      <c r="O71" s="234">
        <v>0.5</v>
      </c>
      <c r="P71" s="279">
        <v>1.0604</v>
      </c>
      <c r="Q71" s="471"/>
      <c r="R71" s="296"/>
      <c r="S71" s="293"/>
      <c r="T71" s="292"/>
      <c r="U71" s="292"/>
      <c r="V71" s="292"/>
      <c r="W71" s="293"/>
      <c r="X71" s="294"/>
      <c r="Y71" s="295"/>
      <c r="Z71" s="295"/>
      <c r="AA71" s="295"/>
      <c r="AB71" s="294"/>
      <c r="AC71" s="295"/>
      <c r="AD71" s="295"/>
      <c r="AE71" s="295"/>
      <c r="AF71" s="295"/>
      <c r="AG71" s="295"/>
      <c r="AH71" s="262"/>
      <c r="AI71" s="238"/>
    </row>
    <row r="72" spans="1:35">
      <c r="A72" s="506"/>
      <c r="B72" s="233" t="s">
        <v>283</v>
      </c>
      <c r="C72" s="233"/>
      <c r="D72" s="233" t="s">
        <v>242</v>
      </c>
      <c r="E72" s="546"/>
      <c r="F72" s="517"/>
      <c r="G72" s="492"/>
      <c r="H72" s="457"/>
      <c r="I72" s="234">
        <v>2.27</v>
      </c>
      <c r="J72" s="234"/>
      <c r="K72" s="525"/>
      <c r="L72" s="484">
        <v>45830</v>
      </c>
      <c r="M72" s="487" t="s">
        <v>98</v>
      </c>
      <c r="N72" s="460"/>
      <c r="O72" s="234">
        <v>0.09</v>
      </c>
      <c r="P72" s="279">
        <v>3.8650000000000002</v>
      </c>
      <c r="Q72" s="471"/>
      <c r="R72" s="296"/>
      <c r="S72" s="293"/>
      <c r="T72" s="292"/>
      <c r="U72" s="292"/>
      <c r="V72" s="292"/>
      <c r="W72" s="293"/>
      <c r="X72" s="294"/>
      <c r="Y72" s="295"/>
      <c r="Z72" s="295"/>
      <c r="AA72" s="295"/>
      <c r="AB72" s="294"/>
      <c r="AC72" s="295"/>
      <c r="AD72" s="295"/>
      <c r="AE72" s="295"/>
      <c r="AF72" s="295"/>
      <c r="AG72" s="295"/>
      <c r="AH72" s="262"/>
      <c r="AI72" s="238"/>
    </row>
    <row r="73" spans="1:35">
      <c r="A73" s="506"/>
      <c r="B73" s="233" t="s">
        <v>269</v>
      </c>
      <c r="C73" s="233" t="s">
        <v>215</v>
      </c>
      <c r="D73" s="233" t="s">
        <v>227</v>
      </c>
      <c r="E73" s="546"/>
      <c r="F73" s="517"/>
      <c r="G73" s="492"/>
      <c r="H73" s="457"/>
      <c r="I73" s="234">
        <v>2.38</v>
      </c>
      <c r="J73" s="234"/>
      <c r="K73" s="525"/>
      <c r="L73" s="484">
        <v>45830</v>
      </c>
      <c r="M73" s="487" t="s">
        <v>98</v>
      </c>
      <c r="N73" s="460"/>
      <c r="O73" s="234">
        <v>1.31</v>
      </c>
      <c r="P73" s="279">
        <v>10.594900000000001</v>
      </c>
      <c r="Q73" s="471"/>
      <c r="R73" s="296"/>
      <c r="S73" s="293"/>
      <c r="T73" s="292"/>
      <c r="U73" s="292"/>
      <c r="V73" s="292"/>
      <c r="W73" s="293"/>
      <c r="X73" s="294"/>
      <c r="Y73" s="295"/>
      <c r="Z73" s="295"/>
      <c r="AA73" s="295"/>
      <c r="AB73" s="294"/>
      <c r="AC73" s="295"/>
      <c r="AD73" s="295"/>
      <c r="AE73" s="295"/>
      <c r="AF73" s="295"/>
      <c r="AG73" s="295"/>
      <c r="AH73" s="262"/>
      <c r="AI73" s="238"/>
    </row>
    <row r="74" spans="1:35">
      <c r="A74" s="506"/>
      <c r="B74" s="233" t="s">
        <v>270</v>
      </c>
      <c r="C74" s="233" t="s">
        <v>215</v>
      </c>
      <c r="D74" s="233" t="s">
        <v>219</v>
      </c>
      <c r="E74" s="546"/>
      <c r="F74" s="517"/>
      <c r="G74" s="492"/>
      <c r="H74" s="457"/>
      <c r="I74" s="234"/>
      <c r="J74" s="234"/>
      <c r="K74" s="525"/>
      <c r="L74" s="484">
        <v>45830</v>
      </c>
      <c r="M74" s="487" t="s">
        <v>98</v>
      </c>
      <c r="N74" s="460"/>
      <c r="O74" s="234"/>
      <c r="P74" s="279"/>
      <c r="Q74" s="471"/>
      <c r="R74" s="296"/>
      <c r="S74" s="293"/>
      <c r="T74" s="292"/>
      <c r="U74" s="292"/>
      <c r="V74" s="292"/>
      <c r="W74" s="293"/>
      <c r="X74" s="294"/>
      <c r="Y74" s="295"/>
      <c r="Z74" s="295"/>
      <c r="AA74" s="295"/>
      <c r="AB74" s="294"/>
      <c r="AC74" s="295"/>
      <c r="AD74" s="295"/>
      <c r="AE74" s="295"/>
      <c r="AF74" s="295"/>
      <c r="AG74" s="295"/>
      <c r="AH74" s="262"/>
      <c r="AI74" s="238"/>
    </row>
    <row r="75" spans="1:35" ht="25.5">
      <c r="A75" s="506"/>
      <c r="B75" s="233" t="s">
        <v>272</v>
      </c>
      <c r="C75" s="233"/>
      <c r="D75" s="233" t="s">
        <v>284</v>
      </c>
      <c r="E75" s="546"/>
      <c r="F75" s="517"/>
      <c r="G75" s="492"/>
      <c r="H75" s="457"/>
      <c r="I75" s="234">
        <v>4.25</v>
      </c>
      <c r="J75" s="234"/>
      <c r="K75" s="525"/>
      <c r="L75" s="484">
        <v>45830</v>
      </c>
      <c r="M75" s="487" t="s">
        <v>98</v>
      </c>
      <c r="N75" s="460"/>
      <c r="O75" s="234">
        <v>2.38</v>
      </c>
      <c r="P75" s="279">
        <v>5.8570000000000002</v>
      </c>
      <c r="Q75" s="471"/>
      <c r="R75" s="296"/>
      <c r="S75" s="293"/>
      <c r="T75" s="292"/>
      <c r="U75" s="292"/>
      <c r="V75" s="292"/>
      <c r="W75" s="293"/>
      <c r="X75" s="294"/>
      <c r="Y75" s="295"/>
      <c r="Z75" s="295"/>
      <c r="AA75" s="295"/>
      <c r="AB75" s="294"/>
      <c r="AC75" s="295"/>
      <c r="AD75" s="295"/>
      <c r="AE75" s="295"/>
      <c r="AF75" s="295"/>
      <c r="AG75" s="295"/>
      <c r="AH75" s="262"/>
      <c r="AI75" s="238"/>
    </row>
    <row r="76" spans="1:35">
      <c r="A76" s="506"/>
      <c r="B76" s="233" t="s">
        <v>273</v>
      </c>
      <c r="C76" s="233"/>
      <c r="D76" s="233" t="s">
        <v>222</v>
      </c>
      <c r="E76" s="546"/>
      <c r="F76" s="517"/>
      <c r="G76" s="492"/>
      <c r="H76" s="457"/>
      <c r="I76" s="234"/>
      <c r="J76" s="234"/>
      <c r="K76" s="525"/>
      <c r="L76" s="484">
        <v>45830</v>
      </c>
      <c r="M76" s="487" t="s">
        <v>98</v>
      </c>
      <c r="N76" s="460"/>
      <c r="O76" s="234"/>
      <c r="P76" s="279"/>
      <c r="Q76" s="471"/>
      <c r="R76" s="296"/>
      <c r="S76" s="293"/>
      <c r="T76" s="292"/>
      <c r="U76" s="292"/>
      <c r="V76" s="292"/>
      <c r="W76" s="293"/>
      <c r="X76" s="294"/>
      <c r="Y76" s="295"/>
      <c r="Z76" s="295"/>
      <c r="AA76" s="295"/>
      <c r="AB76" s="294"/>
      <c r="AC76" s="295"/>
      <c r="AD76" s="295"/>
      <c r="AE76" s="295"/>
      <c r="AF76" s="295"/>
      <c r="AG76" s="295"/>
      <c r="AH76" s="262"/>
      <c r="AI76" s="238"/>
    </row>
    <row r="77" spans="1:35" ht="27" customHeight="1">
      <c r="A77" s="506"/>
      <c r="B77" s="233" t="s">
        <v>274</v>
      </c>
      <c r="C77" s="233" t="s">
        <v>207</v>
      </c>
      <c r="D77" s="233" t="s">
        <v>276</v>
      </c>
      <c r="E77" s="546"/>
      <c r="F77" s="517"/>
      <c r="G77" s="492"/>
      <c r="H77" s="457"/>
      <c r="I77" s="234">
        <v>3.02</v>
      </c>
      <c r="J77" s="234"/>
      <c r="K77" s="525"/>
      <c r="L77" s="484">
        <v>45830</v>
      </c>
      <c r="M77" s="487" t="s">
        <v>98</v>
      </c>
      <c r="N77" s="460"/>
      <c r="O77" s="234">
        <v>3.24</v>
      </c>
      <c r="P77" s="279">
        <v>6.0992000000000006</v>
      </c>
      <c r="Q77" s="471"/>
      <c r="R77" s="296"/>
      <c r="S77" s="293"/>
      <c r="T77" s="292"/>
      <c r="U77" s="292"/>
      <c r="V77" s="292"/>
      <c r="W77" s="293"/>
      <c r="X77" s="294"/>
      <c r="Y77" s="295"/>
      <c r="Z77" s="295"/>
      <c r="AA77" s="295"/>
      <c r="AB77" s="294"/>
      <c r="AC77" s="295"/>
      <c r="AD77" s="295"/>
      <c r="AE77" s="295"/>
      <c r="AF77" s="295"/>
      <c r="AG77" s="295"/>
      <c r="AH77" s="262"/>
      <c r="AI77" s="238"/>
    </row>
    <row r="78" spans="1:35">
      <c r="A78" s="506"/>
      <c r="B78" s="233" t="s">
        <v>275</v>
      </c>
      <c r="C78" s="233"/>
      <c r="D78" s="233" t="s">
        <v>278</v>
      </c>
      <c r="E78" s="546"/>
      <c r="F78" s="517"/>
      <c r="G78" s="492"/>
      <c r="H78" s="457"/>
      <c r="I78" s="234">
        <v>0.97</v>
      </c>
      <c r="J78" s="234"/>
      <c r="K78" s="525"/>
      <c r="L78" s="484">
        <v>45830</v>
      </c>
      <c r="M78" s="487" t="s">
        <v>98</v>
      </c>
      <c r="N78" s="460"/>
      <c r="O78" s="234">
        <v>0.03</v>
      </c>
      <c r="P78" s="279">
        <v>0.2165</v>
      </c>
      <c r="Q78" s="471"/>
      <c r="R78" s="296"/>
      <c r="S78" s="293"/>
      <c r="T78" s="292"/>
      <c r="U78" s="292"/>
      <c r="V78" s="292"/>
      <c r="W78" s="293"/>
      <c r="X78" s="294"/>
      <c r="Y78" s="295"/>
      <c r="Z78" s="295"/>
      <c r="AA78" s="295"/>
      <c r="AB78" s="294"/>
      <c r="AC78" s="295"/>
      <c r="AD78" s="295"/>
      <c r="AE78" s="295"/>
      <c r="AF78" s="295"/>
      <c r="AG78" s="295"/>
      <c r="AH78" s="262"/>
      <c r="AI78" s="238"/>
    </row>
    <row r="79" spans="1:35">
      <c r="A79" s="506"/>
      <c r="B79" s="233" t="s">
        <v>277</v>
      </c>
      <c r="C79" s="233" t="s">
        <v>285</v>
      </c>
      <c r="D79" s="233" t="s">
        <v>286</v>
      </c>
      <c r="E79" s="546"/>
      <c r="F79" s="517"/>
      <c r="G79" s="492"/>
      <c r="H79" s="457"/>
      <c r="I79" s="234"/>
      <c r="J79" s="234"/>
      <c r="K79" s="525"/>
      <c r="L79" s="484">
        <v>45830</v>
      </c>
      <c r="M79" s="487" t="s">
        <v>98</v>
      </c>
      <c r="N79" s="460"/>
      <c r="O79" s="234">
        <v>0.5</v>
      </c>
      <c r="P79" s="279">
        <v>1.0672999999999999</v>
      </c>
      <c r="Q79" s="471"/>
      <c r="R79" s="296"/>
      <c r="S79" s="293"/>
      <c r="T79" s="292"/>
      <c r="U79" s="292"/>
      <c r="V79" s="292"/>
      <c r="W79" s="293"/>
      <c r="X79" s="294"/>
      <c r="Y79" s="295"/>
      <c r="Z79" s="295"/>
      <c r="AA79" s="295"/>
      <c r="AB79" s="294"/>
      <c r="AC79" s="295"/>
      <c r="AD79" s="295"/>
      <c r="AE79" s="295"/>
      <c r="AF79" s="295"/>
      <c r="AG79" s="295"/>
      <c r="AH79" s="262"/>
      <c r="AI79" s="238"/>
    </row>
    <row r="80" spans="1:35">
      <c r="A80" s="506"/>
      <c r="B80" s="233"/>
      <c r="C80" s="233"/>
      <c r="D80" s="233" t="s">
        <v>287</v>
      </c>
      <c r="E80" s="546"/>
      <c r="F80" s="517"/>
      <c r="G80" s="492"/>
      <c r="H80" s="457"/>
      <c r="I80" s="234"/>
      <c r="J80" s="234"/>
      <c r="K80" s="525"/>
      <c r="L80" s="484"/>
      <c r="M80" s="487"/>
      <c r="N80" s="460"/>
      <c r="O80" s="234"/>
      <c r="P80" s="279"/>
      <c r="Q80" s="471"/>
      <c r="R80" s="296"/>
      <c r="S80" s="293"/>
      <c r="T80" s="292"/>
      <c r="U80" s="292"/>
      <c r="V80" s="292"/>
      <c r="W80" s="293"/>
      <c r="X80" s="294"/>
      <c r="Y80" s="295"/>
      <c r="Z80" s="295"/>
      <c r="AA80" s="295"/>
      <c r="AB80" s="294"/>
      <c r="AC80" s="295"/>
      <c r="AD80" s="295"/>
      <c r="AE80" s="295"/>
      <c r="AF80" s="295"/>
      <c r="AG80" s="295"/>
      <c r="AH80" s="262"/>
      <c r="AI80" s="238"/>
    </row>
    <row r="81" spans="1:35">
      <c r="A81" s="507"/>
      <c r="B81" s="233"/>
      <c r="C81" s="233"/>
      <c r="D81" s="233" t="s">
        <v>237</v>
      </c>
      <c r="E81" s="547"/>
      <c r="F81" s="536"/>
      <c r="G81" s="535"/>
      <c r="H81" s="457"/>
      <c r="I81" s="257"/>
      <c r="J81" s="257"/>
      <c r="K81" s="525"/>
      <c r="L81" s="485"/>
      <c r="M81" s="487"/>
      <c r="N81" s="461"/>
      <c r="O81" s="257"/>
      <c r="P81" s="282"/>
      <c r="Q81" s="472"/>
      <c r="R81" s="296"/>
      <c r="S81" s="293"/>
      <c r="T81" s="292"/>
      <c r="U81" s="292"/>
      <c r="V81" s="292"/>
      <c r="W81" s="293"/>
      <c r="X81" s="294"/>
      <c r="Y81" s="295"/>
      <c r="Z81" s="295"/>
      <c r="AA81" s="295"/>
      <c r="AB81" s="294"/>
      <c r="AC81" s="295"/>
      <c r="AD81" s="295"/>
      <c r="AE81" s="295"/>
      <c r="AF81" s="295"/>
      <c r="AG81" s="295"/>
      <c r="AH81" s="262"/>
      <c r="AI81" s="238"/>
    </row>
    <row r="82" spans="1:35">
      <c r="A82" s="514" t="s">
        <v>288</v>
      </c>
      <c r="B82" s="258" t="s">
        <v>289</v>
      </c>
      <c r="C82" s="259" t="s">
        <v>290</v>
      </c>
      <c r="D82" s="259" t="s">
        <v>204</v>
      </c>
      <c r="E82" s="545"/>
      <c r="F82" s="516">
        <v>45813</v>
      </c>
      <c r="G82" s="519" t="s">
        <v>98</v>
      </c>
      <c r="H82" s="522">
        <v>2180</v>
      </c>
      <c r="I82" s="277"/>
      <c r="J82" s="277"/>
      <c r="K82" s="524" t="s">
        <v>205</v>
      </c>
      <c r="L82" s="549">
        <v>45830</v>
      </c>
      <c r="M82" s="550" t="s">
        <v>98</v>
      </c>
      <c r="N82" s="456">
        <v>1949</v>
      </c>
      <c r="O82" s="237">
        <v>2.86</v>
      </c>
      <c r="P82" s="278">
        <v>3.8190000000000004</v>
      </c>
      <c r="Q82" s="470" t="s">
        <v>205</v>
      </c>
      <c r="R82" s="296"/>
      <c r="S82" s="293"/>
      <c r="T82" s="292"/>
      <c r="U82" s="292"/>
      <c r="V82" s="292"/>
      <c r="W82" s="293"/>
      <c r="X82" s="294"/>
      <c r="Y82" s="295"/>
      <c r="Z82" s="295"/>
      <c r="AA82" s="295"/>
      <c r="AB82" s="294"/>
      <c r="AC82" s="295"/>
      <c r="AD82" s="295"/>
      <c r="AE82" s="295"/>
      <c r="AF82" s="295"/>
      <c r="AG82" s="295"/>
      <c r="AH82" s="262"/>
      <c r="AI82" s="238"/>
    </row>
    <row r="83" spans="1:35" ht="25.5">
      <c r="A83" s="457"/>
      <c r="B83" s="258" t="s">
        <v>291</v>
      </c>
      <c r="C83" s="258" t="s">
        <v>224</v>
      </c>
      <c r="D83" s="258" t="s">
        <v>292</v>
      </c>
      <c r="E83" s="546"/>
      <c r="F83" s="517"/>
      <c r="G83" s="520"/>
      <c r="H83" s="457"/>
      <c r="I83" s="234">
        <v>1.7</v>
      </c>
      <c r="J83" s="234"/>
      <c r="K83" s="525"/>
      <c r="L83" s="489"/>
      <c r="M83" s="492"/>
      <c r="N83" s="457"/>
      <c r="O83" s="234">
        <v>1.54</v>
      </c>
      <c r="P83" s="279">
        <v>2.1068000000000002</v>
      </c>
      <c r="Q83" s="471"/>
      <c r="R83" s="296"/>
      <c r="S83" s="293"/>
      <c r="T83" s="292"/>
      <c r="U83" s="292"/>
      <c r="V83" s="292"/>
      <c r="W83" s="293"/>
      <c r="X83" s="294"/>
      <c r="Y83" s="295"/>
      <c r="Z83" s="295"/>
      <c r="AA83" s="295"/>
      <c r="AB83" s="294"/>
      <c r="AC83" s="295"/>
      <c r="AD83" s="295"/>
      <c r="AE83" s="295"/>
      <c r="AF83" s="295"/>
      <c r="AG83" s="295"/>
      <c r="AH83" s="262"/>
      <c r="AI83" s="238"/>
    </row>
    <row r="84" spans="1:35">
      <c r="A84" s="457"/>
      <c r="B84" s="258" t="s">
        <v>293</v>
      </c>
      <c r="C84" s="258" t="s">
        <v>267</v>
      </c>
      <c r="D84" s="258" t="s">
        <v>267</v>
      </c>
      <c r="E84" s="546"/>
      <c r="F84" s="517"/>
      <c r="G84" s="520"/>
      <c r="H84" s="457"/>
      <c r="I84" s="234"/>
      <c r="J84" s="243"/>
      <c r="K84" s="525"/>
      <c r="L84" s="489"/>
      <c r="M84" s="492"/>
      <c r="N84" s="457"/>
      <c r="O84" s="234"/>
      <c r="P84" s="279"/>
      <c r="Q84" s="471"/>
      <c r="R84" s="296"/>
      <c r="S84" s="293"/>
      <c r="T84" s="292"/>
      <c r="U84" s="292"/>
      <c r="V84" s="292"/>
      <c r="W84" s="293"/>
      <c r="X84" s="294"/>
      <c r="Y84" s="295"/>
      <c r="Z84" s="295"/>
      <c r="AA84" s="295"/>
      <c r="AB84" s="294"/>
      <c r="AC84" s="295"/>
      <c r="AD84" s="295"/>
      <c r="AE84" s="295"/>
      <c r="AF84" s="295"/>
      <c r="AG84" s="295"/>
      <c r="AH84" s="262"/>
      <c r="AI84" s="238"/>
    </row>
    <row r="85" spans="1:35">
      <c r="A85" s="457"/>
      <c r="B85" s="258" t="s">
        <v>294</v>
      </c>
      <c r="C85" s="252"/>
      <c r="D85" s="252" t="s">
        <v>295</v>
      </c>
      <c r="E85" s="546"/>
      <c r="F85" s="517"/>
      <c r="G85" s="520"/>
      <c r="H85" s="457"/>
      <c r="I85" s="234">
        <v>1.35</v>
      </c>
      <c r="J85" s="243"/>
      <c r="K85" s="525"/>
      <c r="L85" s="489"/>
      <c r="M85" s="492"/>
      <c r="N85" s="457"/>
      <c r="O85" s="234">
        <v>1.28</v>
      </c>
      <c r="P85" s="279">
        <v>1.8613000000000002</v>
      </c>
      <c r="Q85" s="471"/>
      <c r="R85" s="296"/>
      <c r="S85" s="293"/>
      <c r="T85" s="292"/>
      <c r="U85" s="292"/>
      <c r="V85" s="292"/>
      <c r="W85" s="293"/>
      <c r="X85" s="294"/>
      <c r="Y85" s="295"/>
      <c r="Z85" s="295"/>
      <c r="AA85" s="295"/>
      <c r="AB85" s="294"/>
      <c r="AC85" s="295"/>
      <c r="AD85" s="295"/>
      <c r="AE85" s="295"/>
      <c r="AF85" s="295"/>
      <c r="AG85" s="295"/>
      <c r="AH85" s="262"/>
      <c r="AI85" s="238"/>
    </row>
    <row r="86" spans="1:35">
      <c r="A86" s="457"/>
      <c r="B86" s="260" t="s">
        <v>296</v>
      </c>
      <c r="C86" s="261" t="s">
        <v>297</v>
      </c>
      <c r="D86" s="261" t="s">
        <v>224</v>
      </c>
      <c r="E86" s="546"/>
      <c r="F86" s="517"/>
      <c r="G86" s="520"/>
      <c r="H86" s="457"/>
      <c r="I86" s="234"/>
      <c r="J86" s="243"/>
      <c r="K86" s="525"/>
      <c r="L86" s="489"/>
      <c r="M86" s="492"/>
      <c r="N86" s="457"/>
      <c r="O86" s="234"/>
      <c r="P86" s="279"/>
      <c r="Q86" s="471"/>
      <c r="R86" s="296"/>
      <c r="S86" s="293"/>
      <c r="T86" s="292"/>
      <c r="U86" s="292"/>
      <c r="V86" s="292"/>
      <c r="W86" s="293"/>
      <c r="X86" s="294"/>
      <c r="Y86" s="295"/>
      <c r="Z86" s="295"/>
      <c r="AA86" s="295"/>
      <c r="AB86" s="294"/>
      <c r="AC86" s="295"/>
      <c r="AD86" s="295"/>
      <c r="AE86" s="295"/>
      <c r="AF86" s="295"/>
      <c r="AG86" s="295"/>
      <c r="AH86" s="262"/>
      <c r="AI86" s="238"/>
    </row>
    <row r="87" spans="1:35">
      <c r="A87" s="457"/>
      <c r="B87" s="260"/>
      <c r="C87" s="261"/>
      <c r="D87" s="261" t="s">
        <v>287</v>
      </c>
      <c r="E87" s="546"/>
      <c r="F87" s="517"/>
      <c r="G87" s="520"/>
      <c r="H87" s="457"/>
      <c r="I87" s="234"/>
      <c r="J87" s="243"/>
      <c r="K87" s="525"/>
      <c r="L87" s="489"/>
      <c r="M87" s="492"/>
      <c r="N87" s="457"/>
      <c r="O87" s="234"/>
      <c r="P87" s="279"/>
      <c r="Q87" s="471"/>
      <c r="R87" s="296"/>
      <c r="S87" s="293"/>
      <c r="T87" s="292"/>
      <c r="U87" s="292"/>
      <c r="V87" s="292"/>
      <c r="W87" s="293"/>
      <c r="X87" s="294"/>
      <c r="Y87" s="295"/>
      <c r="Z87" s="295"/>
      <c r="AA87" s="295"/>
      <c r="AB87" s="294"/>
      <c r="AC87" s="295"/>
      <c r="AD87" s="295"/>
      <c r="AE87" s="295"/>
      <c r="AF87" s="295"/>
      <c r="AG87" s="295"/>
      <c r="AH87" s="262"/>
      <c r="AI87" s="238"/>
    </row>
    <row r="88" spans="1:35">
      <c r="A88" s="515"/>
      <c r="B88" s="260"/>
      <c r="C88" s="261"/>
      <c r="D88" s="261" t="s">
        <v>237</v>
      </c>
      <c r="E88" s="547"/>
      <c r="F88" s="536"/>
      <c r="G88" s="514"/>
      <c r="H88" s="457"/>
      <c r="I88" s="257"/>
      <c r="J88" s="255"/>
      <c r="K88" s="525"/>
      <c r="L88" s="490"/>
      <c r="M88" s="493"/>
      <c r="N88" s="458"/>
      <c r="O88" s="249"/>
      <c r="P88" s="280"/>
      <c r="Q88" s="472"/>
      <c r="R88" s="296"/>
      <c r="S88" s="293"/>
      <c r="T88" s="292"/>
      <c r="U88" s="292"/>
      <c r="V88" s="292"/>
      <c r="W88" s="293"/>
      <c r="X88" s="294"/>
      <c r="Y88" s="295"/>
      <c r="Z88" s="295"/>
      <c r="AA88" s="295"/>
      <c r="AB88" s="294"/>
      <c r="AC88" s="295"/>
      <c r="AD88" s="295"/>
      <c r="AE88" s="295"/>
      <c r="AF88" s="295"/>
      <c r="AG88" s="295"/>
      <c r="AH88" s="262"/>
      <c r="AI88" s="238"/>
    </row>
    <row r="89" spans="1:35" ht="25.5">
      <c r="A89" s="514" t="s">
        <v>298</v>
      </c>
      <c r="B89" s="258" t="s">
        <v>299</v>
      </c>
      <c r="C89" s="258" t="s">
        <v>203</v>
      </c>
      <c r="D89" s="256" t="s">
        <v>204</v>
      </c>
      <c r="E89" s="527"/>
      <c r="F89" s="516">
        <v>45813</v>
      </c>
      <c r="G89" s="519" t="s">
        <v>98</v>
      </c>
      <c r="H89" s="522">
        <v>4160</v>
      </c>
      <c r="I89" s="277"/>
      <c r="J89" s="270"/>
      <c r="K89" s="524" t="s">
        <v>205</v>
      </c>
      <c r="L89" s="549">
        <v>45830</v>
      </c>
      <c r="M89" s="550" t="s">
        <v>98</v>
      </c>
      <c r="N89" s="456">
        <v>5419</v>
      </c>
      <c r="O89" s="263">
        <v>2.91</v>
      </c>
      <c r="P89" s="283">
        <v>16.4894</v>
      </c>
      <c r="Q89" s="471" t="s">
        <v>205</v>
      </c>
      <c r="R89" s="297"/>
      <c r="S89" s="298"/>
      <c r="T89" s="294"/>
      <c r="U89" s="294"/>
      <c r="V89" s="294"/>
      <c r="W89" s="298"/>
      <c r="X89" s="294"/>
      <c r="Y89" s="295"/>
      <c r="Z89" s="295"/>
      <c r="AA89" s="295"/>
      <c r="AB89" s="294"/>
      <c r="AC89" s="295"/>
      <c r="AD89" s="295"/>
      <c r="AE89" s="295"/>
      <c r="AF89" s="295"/>
      <c r="AG89" s="295"/>
      <c r="AH89" s="262"/>
      <c r="AI89" s="238"/>
    </row>
    <row r="90" spans="1:35">
      <c r="A90" s="457"/>
      <c r="B90" s="258" t="s">
        <v>300</v>
      </c>
      <c r="C90" s="258" t="s">
        <v>301</v>
      </c>
      <c r="D90" s="256" t="s">
        <v>208</v>
      </c>
      <c r="E90" s="528"/>
      <c r="F90" s="517"/>
      <c r="G90" s="520"/>
      <c r="H90" s="457"/>
      <c r="I90" s="234">
        <v>1.18</v>
      </c>
      <c r="J90" s="251"/>
      <c r="K90" s="525"/>
      <c r="L90" s="489"/>
      <c r="M90" s="492"/>
      <c r="N90" s="457"/>
      <c r="O90" s="256">
        <v>1.04</v>
      </c>
      <c r="P90" s="284">
        <v>1.3619000000000001</v>
      </c>
      <c r="Q90" s="471"/>
      <c r="R90" s="297"/>
      <c r="S90" s="298"/>
      <c r="T90" s="294"/>
      <c r="U90" s="294"/>
      <c r="V90" s="294"/>
      <c r="W90" s="298"/>
      <c r="X90" s="294"/>
      <c r="Y90" s="295"/>
      <c r="Z90" s="295"/>
      <c r="AA90" s="295"/>
      <c r="AB90" s="294"/>
      <c r="AC90" s="295"/>
      <c r="AD90" s="295"/>
      <c r="AE90" s="295"/>
      <c r="AF90" s="295"/>
      <c r="AG90" s="295"/>
      <c r="AH90" s="262"/>
      <c r="AI90" s="238"/>
    </row>
    <row r="91" spans="1:35">
      <c r="A91" s="457"/>
      <c r="B91" s="258" t="s">
        <v>294</v>
      </c>
      <c r="C91" s="252"/>
      <c r="D91" s="256" t="s">
        <v>210</v>
      </c>
      <c r="E91" s="528"/>
      <c r="F91" s="517"/>
      <c r="G91" s="520"/>
      <c r="H91" s="457"/>
      <c r="I91" s="234">
        <v>2.34</v>
      </c>
      <c r="J91" s="251"/>
      <c r="K91" s="525"/>
      <c r="L91" s="489"/>
      <c r="M91" s="492"/>
      <c r="N91" s="457"/>
      <c r="O91" s="256">
        <v>2.65</v>
      </c>
      <c r="P91" s="284">
        <v>3.6096000000000004</v>
      </c>
      <c r="Q91" s="471"/>
      <c r="R91" s="297"/>
      <c r="S91" s="298"/>
      <c r="T91" s="294"/>
      <c r="U91" s="294"/>
      <c r="V91" s="294"/>
      <c r="W91" s="298"/>
      <c r="X91" s="294"/>
      <c r="Y91" s="295"/>
      <c r="Z91" s="295"/>
      <c r="AA91" s="295"/>
      <c r="AB91" s="294"/>
      <c r="AC91" s="295"/>
      <c r="AD91" s="295"/>
      <c r="AE91" s="295"/>
      <c r="AF91" s="295"/>
      <c r="AG91" s="295"/>
      <c r="AH91" s="262"/>
      <c r="AI91" s="238"/>
    </row>
    <row r="92" spans="1:35">
      <c r="A92" s="457"/>
      <c r="B92" s="258" t="s">
        <v>302</v>
      </c>
      <c r="C92" s="259" t="s">
        <v>290</v>
      </c>
      <c r="D92" s="256" t="s">
        <v>213</v>
      </c>
      <c r="E92" s="528"/>
      <c r="F92" s="517"/>
      <c r="G92" s="520"/>
      <c r="H92" s="457"/>
      <c r="I92" s="234">
        <v>0.6</v>
      </c>
      <c r="J92" s="251"/>
      <c r="K92" s="525"/>
      <c r="L92" s="489"/>
      <c r="M92" s="492"/>
      <c r="N92" s="457"/>
      <c r="O92" s="256">
        <v>0.5</v>
      </c>
      <c r="P92" s="284">
        <v>1.0604</v>
      </c>
      <c r="Q92" s="471"/>
      <c r="R92" s="297"/>
      <c r="S92" s="298"/>
      <c r="T92" s="294"/>
      <c r="U92" s="294"/>
      <c r="V92" s="294"/>
      <c r="W92" s="298"/>
      <c r="X92" s="294"/>
      <c r="Y92" s="295"/>
      <c r="Z92" s="295"/>
      <c r="AA92" s="295"/>
      <c r="AB92" s="294"/>
      <c r="AC92" s="295"/>
      <c r="AD92" s="295"/>
      <c r="AE92" s="295"/>
      <c r="AF92" s="295"/>
      <c r="AG92" s="295"/>
      <c r="AH92" s="262"/>
      <c r="AI92" s="238"/>
    </row>
    <row r="93" spans="1:35">
      <c r="A93" s="457"/>
      <c r="B93" s="258" t="s">
        <v>294</v>
      </c>
      <c r="C93" s="259" t="s">
        <v>290</v>
      </c>
      <c r="D93" s="256" t="s">
        <v>259</v>
      </c>
      <c r="E93" s="528"/>
      <c r="F93" s="517"/>
      <c r="G93" s="520"/>
      <c r="H93" s="457"/>
      <c r="I93" s="234">
        <v>2.19</v>
      </c>
      <c r="J93" s="251"/>
      <c r="K93" s="525"/>
      <c r="L93" s="489"/>
      <c r="M93" s="492"/>
      <c r="N93" s="457"/>
      <c r="O93" s="256">
        <v>0.35</v>
      </c>
      <c r="P93" s="284">
        <v>1.5140000000000031</v>
      </c>
      <c r="Q93" s="471"/>
      <c r="R93" s="297"/>
      <c r="S93" s="298"/>
      <c r="T93" s="294"/>
      <c r="U93" s="294"/>
      <c r="V93" s="294"/>
      <c r="W93" s="298"/>
      <c r="X93" s="294"/>
      <c r="Y93" s="295"/>
      <c r="Z93" s="295"/>
      <c r="AA93" s="295"/>
      <c r="AB93" s="294"/>
      <c r="AC93" s="295"/>
      <c r="AD93" s="295"/>
      <c r="AE93" s="295"/>
      <c r="AF93" s="295"/>
      <c r="AG93" s="295"/>
      <c r="AH93" s="262"/>
      <c r="AI93" s="238"/>
    </row>
    <row r="94" spans="1:35">
      <c r="A94" s="457"/>
      <c r="B94" s="258"/>
      <c r="C94" s="259"/>
      <c r="D94" s="256" t="s">
        <v>234</v>
      </c>
      <c r="E94" s="528"/>
      <c r="F94" s="517"/>
      <c r="G94" s="520"/>
      <c r="H94" s="457"/>
      <c r="I94" s="234"/>
      <c r="J94" s="251"/>
      <c r="K94" s="525"/>
      <c r="L94" s="489"/>
      <c r="M94" s="492"/>
      <c r="N94" s="457"/>
      <c r="O94" s="256"/>
      <c r="P94" s="284"/>
      <c r="Q94" s="471"/>
      <c r="R94" s="297"/>
      <c r="S94" s="298"/>
      <c r="T94" s="294"/>
      <c r="U94" s="294"/>
      <c r="V94" s="294"/>
      <c r="W94" s="298"/>
      <c r="X94" s="294"/>
      <c r="Y94" s="295"/>
      <c r="Z94" s="295"/>
      <c r="AA94" s="295"/>
      <c r="AB94" s="294"/>
      <c r="AC94" s="295"/>
      <c r="AD94" s="295"/>
      <c r="AE94" s="295"/>
      <c r="AF94" s="295"/>
      <c r="AG94" s="295"/>
      <c r="AH94" s="262"/>
      <c r="AI94" s="238"/>
    </row>
    <row r="95" spans="1:35">
      <c r="A95" s="457"/>
      <c r="B95" s="258"/>
      <c r="C95" s="259"/>
      <c r="D95" s="256" t="s">
        <v>261</v>
      </c>
      <c r="E95" s="528"/>
      <c r="F95" s="517"/>
      <c r="G95" s="520"/>
      <c r="H95" s="457"/>
      <c r="I95" s="234">
        <v>2.5499999999999998</v>
      </c>
      <c r="J95" s="251"/>
      <c r="K95" s="525"/>
      <c r="L95" s="489"/>
      <c r="M95" s="492"/>
      <c r="N95" s="457"/>
      <c r="O95" s="256">
        <v>1.65</v>
      </c>
      <c r="P95" s="284">
        <v>2.0225000000000013</v>
      </c>
      <c r="Q95" s="471"/>
      <c r="R95" s="297"/>
      <c r="S95" s="298"/>
      <c r="T95" s="294"/>
      <c r="U95" s="294"/>
      <c r="V95" s="294"/>
      <c r="W95" s="298"/>
      <c r="X95" s="294"/>
      <c r="Y95" s="295"/>
      <c r="Z95" s="295"/>
      <c r="AA95" s="295"/>
      <c r="AB95" s="294"/>
      <c r="AC95" s="295"/>
      <c r="AD95" s="295"/>
      <c r="AE95" s="295"/>
      <c r="AF95" s="295"/>
      <c r="AG95" s="295"/>
      <c r="AH95" s="262"/>
      <c r="AI95" s="238"/>
    </row>
    <row r="96" spans="1:35">
      <c r="A96" s="515"/>
      <c r="B96" s="261"/>
      <c r="C96" s="289"/>
      <c r="D96" s="290" t="s">
        <v>237</v>
      </c>
      <c r="E96" s="529"/>
      <c r="F96" s="518"/>
      <c r="G96" s="521"/>
      <c r="H96" s="523"/>
      <c r="I96" s="257"/>
      <c r="J96" s="254"/>
      <c r="K96" s="526"/>
      <c r="L96" s="490"/>
      <c r="M96" s="493"/>
      <c r="N96" s="458"/>
      <c r="O96" s="290"/>
      <c r="P96" s="290"/>
      <c r="Q96" s="472"/>
      <c r="R96" s="297"/>
      <c r="S96" s="298"/>
      <c r="T96" s="294"/>
      <c r="U96" s="294"/>
      <c r="V96" s="294"/>
      <c r="W96" s="298"/>
      <c r="X96" s="294"/>
      <c r="Y96" s="295"/>
      <c r="Z96" s="295"/>
      <c r="AA96" s="295"/>
      <c r="AB96" s="294"/>
      <c r="AC96" s="295"/>
      <c r="AD96" s="295"/>
      <c r="AE96" s="295"/>
      <c r="AF96" s="295"/>
      <c r="AG96" s="295"/>
      <c r="AH96" s="246"/>
      <c r="AI96" s="244"/>
    </row>
    <row r="97" spans="1:33" s="288" customFormat="1" ht="15.75">
      <c r="A97" s="285"/>
      <c r="B97" s="286"/>
      <c r="C97" s="285"/>
      <c r="D97" s="286"/>
      <c r="E97" s="285"/>
      <c r="F97" s="287"/>
      <c r="G97" s="287"/>
      <c r="H97" s="287"/>
      <c r="I97" s="286"/>
      <c r="J97" s="285"/>
      <c r="K97" s="287"/>
      <c r="L97" s="287"/>
      <c r="M97" s="287"/>
      <c r="N97" s="286"/>
      <c r="O97" s="285"/>
      <c r="P97" s="287"/>
      <c r="Q97" s="287"/>
      <c r="R97" s="300"/>
      <c r="S97" s="301"/>
      <c r="T97" s="302"/>
      <c r="U97" s="303"/>
      <c r="V97" s="303"/>
      <c r="W97" s="303"/>
      <c r="X97" s="302"/>
      <c r="Y97" s="303"/>
      <c r="Z97" s="303"/>
      <c r="AA97" s="303"/>
      <c r="AB97" s="303"/>
      <c r="AC97" s="303"/>
      <c r="AD97" s="303"/>
      <c r="AE97" s="303"/>
      <c r="AF97" s="304"/>
      <c r="AG97" s="304"/>
    </row>
    <row r="98" spans="1:33" s="239" customFormat="1" ht="14.45" customHeight="1">
      <c r="A98" s="538" t="s">
        <v>303</v>
      </c>
      <c r="B98" s="264" t="s">
        <v>239</v>
      </c>
      <c r="C98" s="538" t="s">
        <v>72</v>
      </c>
      <c r="D98" s="306">
        <v>45768</v>
      </c>
      <c r="E98" s="307" t="s">
        <v>304</v>
      </c>
      <c r="F98" s="308"/>
      <c r="G98" s="309"/>
      <c r="H98" s="309"/>
      <c r="I98" s="306">
        <v>45768</v>
      </c>
      <c r="J98" s="307" t="s">
        <v>304</v>
      </c>
      <c r="K98" s="308"/>
      <c r="L98" s="309"/>
      <c r="M98" s="309"/>
      <c r="N98" s="306">
        <v>45768</v>
      </c>
      <c r="O98" s="307" t="s">
        <v>304</v>
      </c>
      <c r="P98" s="308"/>
      <c r="Q98" s="309"/>
      <c r="R98" s="309"/>
      <c r="S98" s="538" t="s">
        <v>305</v>
      </c>
      <c r="T98" s="310"/>
      <c r="U98" s="310"/>
      <c r="V98" s="310"/>
      <c r="W98" s="310"/>
      <c r="X98" s="310"/>
      <c r="Y98" s="310"/>
      <c r="Z98" s="310"/>
      <c r="AA98" s="310"/>
      <c r="AB98" s="310"/>
      <c r="AC98" s="310"/>
      <c r="AD98" s="310"/>
      <c r="AE98" s="311"/>
    </row>
    <row r="99" spans="1:33" s="239" customFormat="1" ht="14.45" customHeight="1">
      <c r="A99" s="539"/>
      <c r="B99" s="264" t="s">
        <v>264</v>
      </c>
      <c r="C99" s="539"/>
      <c r="D99" s="312">
        <v>45768</v>
      </c>
      <c r="E99" s="305" t="s">
        <v>304</v>
      </c>
      <c r="F99" s="313"/>
      <c r="G99" s="314"/>
      <c r="H99" s="314"/>
      <c r="I99" s="312">
        <v>45768</v>
      </c>
      <c r="J99" s="305" t="s">
        <v>304</v>
      </c>
      <c r="K99" s="313"/>
      <c r="L99" s="314"/>
      <c r="M99" s="314"/>
      <c r="N99" s="312">
        <v>45768</v>
      </c>
      <c r="O99" s="305" t="s">
        <v>304</v>
      </c>
      <c r="P99" s="313"/>
      <c r="Q99" s="314"/>
      <c r="R99" s="314"/>
      <c r="S99" s="539"/>
      <c r="T99" s="269"/>
      <c r="U99" s="269"/>
      <c r="V99" s="269"/>
      <c r="W99" s="269"/>
      <c r="X99" s="269"/>
      <c r="Y99" s="269"/>
      <c r="Z99" s="269"/>
      <c r="AA99" s="269"/>
      <c r="AB99" s="269"/>
      <c r="AC99" s="269"/>
      <c r="AD99" s="269"/>
      <c r="AE99" s="269"/>
    </row>
    <row r="100" spans="1:33" s="239" customFormat="1" ht="14.45" customHeight="1">
      <c r="A100" s="539"/>
      <c r="B100" s="315" t="s">
        <v>306</v>
      </c>
      <c r="C100" s="539"/>
      <c r="D100" s="312">
        <v>45768</v>
      </c>
      <c r="E100" s="305" t="s">
        <v>304</v>
      </c>
      <c r="F100" s="313"/>
      <c r="G100" s="314"/>
      <c r="H100" s="314"/>
      <c r="I100" s="312">
        <v>45768</v>
      </c>
      <c r="J100" s="305" t="s">
        <v>304</v>
      </c>
      <c r="K100" s="313"/>
      <c r="L100" s="314"/>
      <c r="M100" s="314"/>
      <c r="N100" s="312">
        <v>45768</v>
      </c>
      <c r="O100" s="305" t="s">
        <v>304</v>
      </c>
      <c r="P100" s="313"/>
      <c r="Q100" s="314"/>
      <c r="R100" s="314"/>
      <c r="S100" s="539"/>
      <c r="T100" s="269"/>
      <c r="U100" s="269"/>
      <c r="V100" s="269"/>
      <c r="W100" s="269"/>
      <c r="X100" s="269"/>
      <c r="Y100" s="269"/>
      <c r="Z100" s="269"/>
      <c r="AA100" s="269"/>
      <c r="AB100" s="269"/>
      <c r="AC100" s="269"/>
      <c r="AD100" s="269"/>
      <c r="AE100" s="269"/>
    </row>
    <row r="101" spans="1:33" s="239" customFormat="1" ht="14.45" customHeight="1">
      <c r="A101" s="539"/>
      <c r="B101" s="264" t="s">
        <v>307</v>
      </c>
      <c r="C101" s="539"/>
      <c r="D101" s="312">
        <v>45768</v>
      </c>
      <c r="E101" s="305" t="s">
        <v>304</v>
      </c>
      <c r="F101" s="313"/>
      <c r="G101" s="314"/>
      <c r="H101" s="314"/>
      <c r="I101" s="312">
        <v>45768</v>
      </c>
      <c r="J101" s="305" t="s">
        <v>304</v>
      </c>
      <c r="K101" s="313"/>
      <c r="L101" s="314"/>
      <c r="M101" s="314"/>
      <c r="N101" s="312">
        <v>45768</v>
      </c>
      <c r="O101" s="305" t="s">
        <v>304</v>
      </c>
      <c r="P101" s="313"/>
      <c r="Q101" s="314"/>
      <c r="R101" s="314"/>
      <c r="S101" s="539"/>
      <c r="T101" s="291"/>
      <c r="U101" s="291"/>
      <c r="V101" s="316"/>
      <c r="W101" s="316"/>
      <c r="X101" s="316"/>
      <c r="Y101" s="316"/>
      <c r="Z101" s="316"/>
      <c r="AA101" s="316"/>
      <c r="AB101" s="316"/>
      <c r="AC101" s="316"/>
      <c r="AD101" s="316"/>
      <c r="AE101" s="316"/>
    </row>
    <row r="102" spans="1:33" s="239" customFormat="1" ht="14.45" customHeight="1">
      <c r="A102" s="539"/>
      <c r="B102" s="264" t="s">
        <v>308</v>
      </c>
      <c r="C102" s="539"/>
      <c r="D102" s="312">
        <v>45768</v>
      </c>
      <c r="E102" s="305" t="s">
        <v>304</v>
      </c>
      <c r="F102" s="313"/>
      <c r="G102" s="314"/>
      <c r="H102" s="314"/>
      <c r="I102" s="312">
        <v>45768</v>
      </c>
      <c r="J102" s="305" t="s">
        <v>304</v>
      </c>
      <c r="K102" s="313"/>
      <c r="L102" s="314"/>
      <c r="M102" s="314"/>
      <c r="N102" s="312">
        <v>45768</v>
      </c>
      <c r="O102" s="305" t="s">
        <v>304</v>
      </c>
      <c r="P102" s="313"/>
      <c r="Q102" s="314"/>
      <c r="R102" s="314"/>
      <c r="S102" s="539"/>
      <c r="T102" s="291"/>
      <c r="U102" s="291"/>
      <c r="V102" s="316"/>
      <c r="W102" s="316"/>
      <c r="X102" s="316"/>
      <c r="Y102" s="316"/>
      <c r="Z102" s="316"/>
      <c r="AA102" s="316"/>
      <c r="AB102" s="316"/>
      <c r="AC102" s="316"/>
      <c r="AD102" s="316"/>
      <c r="AE102" s="316"/>
    </row>
    <row r="103" spans="1:33" s="239" customFormat="1" ht="14.45" customHeight="1">
      <c r="A103" s="539"/>
      <c r="B103" s="264" t="s">
        <v>309</v>
      </c>
      <c r="C103" s="539"/>
      <c r="D103" s="312">
        <v>45768</v>
      </c>
      <c r="E103" s="305" t="s">
        <v>304</v>
      </c>
      <c r="F103" s="313"/>
      <c r="G103" s="314"/>
      <c r="H103" s="314"/>
      <c r="I103" s="312">
        <v>45768</v>
      </c>
      <c r="J103" s="305" t="s">
        <v>304</v>
      </c>
      <c r="K103" s="313"/>
      <c r="L103" s="314"/>
      <c r="M103" s="314"/>
      <c r="N103" s="312">
        <v>45768</v>
      </c>
      <c r="O103" s="305" t="s">
        <v>304</v>
      </c>
      <c r="P103" s="313"/>
      <c r="Q103" s="314"/>
      <c r="R103" s="314"/>
      <c r="S103" s="539"/>
      <c r="T103" s="291"/>
      <c r="U103" s="291"/>
      <c r="V103" s="316"/>
      <c r="W103" s="316"/>
      <c r="X103" s="316"/>
      <c r="Y103" s="316"/>
      <c r="Z103" s="316"/>
      <c r="AA103" s="316"/>
      <c r="AB103" s="316"/>
      <c r="AC103" s="316"/>
      <c r="AD103" s="316"/>
      <c r="AE103" s="316"/>
    </row>
    <row r="104" spans="1:33" s="239" customFormat="1" ht="14.45" customHeight="1">
      <c r="A104" s="539"/>
      <c r="B104" s="264" t="s">
        <v>310</v>
      </c>
      <c r="C104" s="539"/>
      <c r="D104" s="312">
        <v>45768</v>
      </c>
      <c r="E104" s="305" t="s">
        <v>304</v>
      </c>
      <c r="F104" s="313"/>
      <c r="G104" s="314"/>
      <c r="H104" s="314"/>
      <c r="I104" s="312">
        <v>45768</v>
      </c>
      <c r="J104" s="305" t="s">
        <v>304</v>
      </c>
      <c r="K104" s="313"/>
      <c r="L104" s="314"/>
      <c r="M104" s="314"/>
      <c r="N104" s="312">
        <v>45768</v>
      </c>
      <c r="O104" s="305" t="s">
        <v>304</v>
      </c>
      <c r="P104" s="313"/>
      <c r="Q104" s="314"/>
      <c r="R104" s="314"/>
      <c r="S104" s="539"/>
      <c r="T104" s="291"/>
      <c r="U104" s="291"/>
      <c r="V104" s="316"/>
      <c r="W104" s="316"/>
      <c r="X104" s="316"/>
      <c r="Y104" s="316"/>
      <c r="Z104" s="316"/>
      <c r="AA104" s="316"/>
      <c r="AB104" s="316"/>
      <c r="AC104" s="316"/>
      <c r="AD104" s="316"/>
      <c r="AE104" s="316"/>
    </row>
    <row r="105" spans="1:33" s="239" customFormat="1" ht="14.45" customHeight="1">
      <c r="A105" s="539"/>
      <c r="B105" s="264" t="s">
        <v>311</v>
      </c>
      <c r="C105" s="539"/>
      <c r="D105" s="312">
        <v>45768</v>
      </c>
      <c r="E105" s="305" t="s">
        <v>304</v>
      </c>
      <c r="F105" s="313"/>
      <c r="G105" s="314"/>
      <c r="H105" s="314"/>
      <c r="I105" s="312">
        <v>45768</v>
      </c>
      <c r="J105" s="305" t="s">
        <v>304</v>
      </c>
      <c r="K105" s="313"/>
      <c r="L105" s="314"/>
      <c r="M105" s="314"/>
      <c r="N105" s="312">
        <v>45768</v>
      </c>
      <c r="O105" s="305" t="s">
        <v>304</v>
      </c>
      <c r="P105" s="313"/>
      <c r="Q105" s="314"/>
      <c r="R105" s="314"/>
      <c r="S105" s="539"/>
      <c r="T105" s="291"/>
      <c r="U105" s="291"/>
      <c r="V105" s="316"/>
      <c r="W105" s="316"/>
      <c r="X105" s="316"/>
      <c r="Y105" s="316"/>
      <c r="Z105" s="316"/>
      <c r="AA105" s="316"/>
      <c r="AB105" s="316"/>
      <c r="AC105" s="316"/>
      <c r="AD105" s="316"/>
      <c r="AE105" s="316"/>
    </row>
    <row r="106" spans="1:33" s="239" customFormat="1" ht="14.45" customHeight="1">
      <c r="A106" s="540"/>
      <c r="B106" s="315" t="s">
        <v>312</v>
      </c>
      <c r="C106" s="540"/>
      <c r="D106" s="312">
        <v>45768</v>
      </c>
      <c r="E106" s="305" t="s">
        <v>304</v>
      </c>
      <c r="F106" s="313"/>
      <c r="G106" s="314"/>
      <c r="H106" s="314"/>
      <c r="I106" s="312">
        <v>45768</v>
      </c>
      <c r="J106" s="305" t="s">
        <v>304</v>
      </c>
      <c r="K106" s="313"/>
      <c r="L106" s="314"/>
      <c r="M106" s="314"/>
      <c r="N106" s="312">
        <v>45768</v>
      </c>
      <c r="O106" s="305" t="s">
        <v>304</v>
      </c>
      <c r="P106" s="313"/>
      <c r="Q106" s="314"/>
      <c r="R106" s="314"/>
      <c r="S106" s="540"/>
      <c r="T106" s="291"/>
      <c r="U106" s="291"/>
      <c r="V106" s="316"/>
      <c r="W106" s="316"/>
      <c r="X106" s="316"/>
      <c r="Y106" s="316"/>
      <c r="Z106" s="316"/>
      <c r="AA106" s="316"/>
      <c r="AB106" s="316"/>
      <c r="AC106" s="316"/>
      <c r="AD106" s="316"/>
      <c r="AE106" s="316"/>
    </row>
    <row r="107" spans="1:33" s="239" customFormat="1" ht="14.45" customHeight="1">
      <c r="A107" s="538" t="s">
        <v>313</v>
      </c>
      <c r="B107" s="264" t="s">
        <v>263</v>
      </c>
      <c r="C107" s="538" t="s">
        <v>72</v>
      </c>
      <c r="D107" s="312">
        <v>45768</v>
      </c>
      <c r="E107" s="305" t="s">
        <v>304</v>
      </c>
      <c r="F107" s="313"/>
      <c r="G107" s="314"/>
      <c r="H107" s="314"/>
      <c r="I107" s="312">
        <v>45768</v>
      </c>
      <c r="J107" s="305" t="s">
        <v>304</v>
      </c>
      <c r="K107" s="313"/>
      <c r="L107" s="314"/>
      <c r="M107" s="314"/>
      <c r="N107" s="312">
        <v>45768</v>
      </c>
      <c r="O107" s="305" t="s">
        <v>304</v>
      </c>
      <c r="P107" s="313"/>
      <c r="Q107" s="314"/>
      <c r="R107" s="314"/>
      <c r="S107" s="538" t="s">
        <v>314</v>
      </c>
      <c r="T107" s="291"/>
      <c r="U107" s="291"/>
      <c r="V107" s="316"/>
      <c r="W107" s="316"/>
      <c r="X107" s="316"/>
      <c r="Y107" s="316"/>
      <c r="Z107" s="316"/>
      <c r="AA107" s="316"/>
      <c r="AB107" s="316"/>
      <c r="AC107" s="316"/>
      <c r="AD107" s="316"/>
      <c r="AE107" s="316"/>
    </row>
    <row r="108" spans="1:33" s="239" customFormat="1" ht="14.45" customHeight="1">
      <c r="A108" s="539"/>
      <c r="B108" s="264"/>
      <c r="C108" s="539"/>
      <c r="D108" s="312">
        <v>45768</v>
      </c>
      <c r="E108" s="305" t="s">
        <v>304</v>
      </c>
      <c r="F108" s="313"/>
      <c r="G108" s="314"/>
      <c r="H108" s="314"/>
      <c r="I108" s="312">
        <v>45768</v>
      </c>
      <c r="J108" s="305" t="s">
        <v>304</v>
      </c>
      <c r="K108" s="313"/>
      <c r="L108" s="314"/>
      <c r="M108" s="314"/>
      <c r="N108" s="312">
        <v>45768</v>
      </c>
      <c r="O108" s="305" t="s">
        <v>304</v>
      </c>
      <c r="P108" s="313"/>
      <c r="Q108" s="314"/>
      <c r="R108" s="314"/>
      <c r="S108" s="539"/>
      <c r="T108" s="291"/>
      <c r="U108" s="291"/>
      <c r="V108" s="316"/>
      <c r="W108" s="316"/>
      <c r="X108" s="316"/>
      <c r="Y108" s="316"/>
      <c r="Z108" s="316"/>
      <c r="AA108" s="316"/>
      <c r="AB108" s="316"/>
      <c r="AC108" s="316"/>
      <c r="AD108" s="316"/>
      <c r="AE108" s="316"/>
    </row>
    <row r="109" spans="1:33" s="239" customFormat="1" ht="14.45" customHeight="1">
      <c r="A109" s="539"/>
      <c r="B109" s="315" t="s">
        <v>315</v>
      </c>
      <c r="C109" s="539"/>
      <c r="D109" s="312">
        <v>45768</v>
      </c>
      <c r="E109" s="305" t="s">
        <v>304</v>
      </c>
      <c r="F109" s="317"/>
      <c r="G109" s="318"/>
      <c r="H109" s="318"/>
      <c r="I109" s="312">
        <v>45768</v>
      </c>
      <c r="J109" s="305" t="s">
        <v>304</v>
      </c>
      <c r="K109" s="317"/>
      <c r="L109" s="318"/>
      <c r="M109" s="318"/>
      <c r="N109" s="312">
        <v>45768</v>
      </c>
      <c r="O109" s="305" t="s">
        <v>304</v>
      </c>
      <c r="P109" s="317"/>
      <c r="Q109" s="318"/>
      <c r="R109" s="318"/>
      <c r="S109" s="539"/>
      <c r="T109" s="291"/>
      <c r="U109" s="291"/>
      <c r="V109" s="316"/>
      <c r="W109" s="316"/>
      <c r="X109" s="316"/>
      <c r="Y109" s="316"/>
      <c r="Z109" s="316"/>
      <c r="AA109" s="316"/>
      <c r="AB109" s="316"/>
      <c r="AC109" s="316"/>
      <c r="AD109" s="316"/>
      <c r="AE109" s="316"/>
    </row>
    <row r="110" spans="1:33" s="239" customFormat="1" ht="14.45" customHeight="1">
      <c r="A110" s="539"/>
      <c r="B110" s="264" t="s">
        <v>316</v>
      </c>
      <c r="C110" s="539"/>
      <c r="D110" s="312">
        <v>45768</v>
      </c>
      <c r="E110" s="305" t="s">
        <v>304</v>
      </c>
      <c r="F110" s="313"/>
      <c r="G110" s="314"/>
      <c r="H110" s="314"/>
      <c r="I110" s="312">
        <v>45768</v>
      </c>
      <c r="J110" s="305" t="s">
        <v>304</v>
      </c>
      <c r="K110" s="313"/>
      <c r="L110" s="314"/>
      <c r="M110" s="314"/>
      <c r="N110" s="312">
        <v>45768</v>
      </c>
      <c r="O110" s="305" t="s">
        <v>304</v>
      </c>
      <c r="P110" s="313"/>
      <c r="Q110" s="314"/>
      <c r="R110" s="314"/>
      <c r="S110" s="539"/>
      <c r="T110" s="291"/>
      <c r="U110" s="291"/>
      <c r="V110" s="316"/>
      <c r="W110" s="316"/>
      <c r="X110" s="316"/>
      <c r="Y110" s="316"/>
      <c r="Z110" s="316"/>
      <c r="AA110" s="316"/>
      <c r="AB110" s="316"/>
      <c r="AC110" s="316"/>
      <c r="AD110" s="316"/>
      <c r="AE110" s="316"/>
    </row>
    <row r="111" spans="1:33" s="239" customFormat="1" ht="14.45" customHeight="1">
      <c r="A111" s="539"/>
      <c r="B111" s="264" t="s">
        <v>317</v>
      </c>
      <c r="C111" s="539"/>
      <c r="D111" s="312">
        <v>45768</v>
      </c>
      <c r="E111" s="305" t="s">
        <v>304</v>
      </c>
      <c r="F111" s="313"/>
      <c r="G111" s="314"/>
      <c r="H111" s="314"/>
      <c r="I111" s="312">
        <v>45768</v>
      </c>
      <c r="J111" s="305" t="s">
        <v>304</v>
      </c>
      <c r="K111" s="313"/>
      <c r="L111" s="314"/>
      <c r="M111" s="314"/>
      <c r="N111" s="312">
        <v>45768</v>
      </c>
      <c r="O111" s="305" t="s">
        <v>304</v>
      </c>
      <c r="P111" s="313"/>
      <c r="Q111" s="314"/>
      <c r="R111" s="314"/>
      <c r="S111" s="539"/>
      <c r="T111" s="291"/>
      <c r="U111" s="291"/>
      <c r="V111" s="316"/>
      <c r="W111" s="316"/>
      <c r="X111" s="316"/>
      <c r="Y111" s="316"/>
      <c r="Z111" s="316"/>
      <c r="AA111" s="316"/>
      <c r="AB111" s="316"/>
      <c r="AC111" s="316"/>
      <c r="AD111" s="316"/>
      <c r="AE111" s="316"/>
    </row>
    <row r="112" spans="1:33" s="239" customFormat="1" ht="14.45" customHeight="1">
      <c r="A112" s="539"/>
      <c r="B112" s="264" t="s">
        <v>318</v>
      </c>
      <c r="C112" s="539"/>
      <c r="D112" s="312">
        <v>45768</v>
      </c>
      <c r="E112" s="305" t="s">
        <v>304</v>
      </c>
      <c r="F112" s="313"/>
      <c r="G112" s="314"/>
      <c r="H112" s="314"/>
      <c r="I112" s="312">
        <v>45768</v>
      </c>
      <c r="J112" s="305" t="s">
        <v>304</v>
      </c>
      <c r="K112" s="313"/>
      <c r="L112" s="314"/>
      <c r="M112" s="314"/>
      <c r="N112" s="312">
        <v>45768</v>
      </c>
      <c r="O112" s="305" t="s">
        <v>304</v>
      </c>
      <c r="P112" s="313"/>
      <c r="Q112" s="314"/>
      <c r="R112" s="314"/>
      <c r="S112" s="539"/>
      <c r="T112" s="291"/>
      <c r="U112" s="291"/>
      <c r="V112" s="316"/>
      <c r="W112" s="316"/>
      <c r="X112" s="316"/>
      <c r="Y112" s="316"/>
      <c r="Z112" s="316"/>
      <c r="AA112" s="316"/>
      <c r="AB112" s="316"/>
      <c r="AC112" s="316"/>
      <c r="AD112" s="316"/>
      <c r="AE112" s="316"/>
    </row>
    <row r="113" spans="1:32" s="239" customFormat="1" ht="14.45" customHeight="1">
      <c r="A113" s="539"/>
      <c r="B113" s="264" t="s">
        <v>319</v>
      </c>
      <c r="C113" s="539"/>
      <c r="D113" s="312">
        <v>45768</v>
      </c>
      <c r="E113" s="305" t="s">
        <v>304</v>
      </c>
      <c r="F113" s="313"/>
      <c r="G113" s="314"/>
      <c r="H113" s="314"/>
      <c r="I113" s="312">
        <v>45768</v>
      </c>
      <c r="J113" s="305" t="s">
        <v>304</v>
      </c>
      <c r="K113" s="313"/>
      <c r="L113" s="314"/>
      <c r="M113" s="314"/>
      <c r="N113" s="312">
        <v>45768</v>
      </c>
      <c r="O113" s="305" t="s">
        <v>304</v>
      </c>
      <c r="P113" s="313"/>
      <c r="Q113" s="314"/>
      <c r="R113" s="314"/>
      <c r="S113" s="539"/>
      <c r="T113" s="291"/>
      <c r="U113" s="291"/>
      <c r="V113" s="316"/>
      <c r="W113" s="316"/>
      <c r="X113" s="316"/>
      <c r="Y113" s="316"/>
      <c r="Z113" s="316"/>
      <c r="AA113" s="316"/>
      <c r="AB113" s="316"/>
      <c r="AC113" s="316"/>
      <c r="AD113" s="316"/>
      <c r="AE113" s="316"/>
    </row>
    <row r="114" spans="1:32" s="239" customFormat="1" ht="14.45" customHeight="1">
      <c r="A114" s="539"/>
      <c r="B114" s="264" t="s">
        <v>320</v>
      </c>
      <c r="C114" s="539"/>
      <c r="D114" s="312">
        <v>45768</v>
      </c>
      <c r="E114" s="305" t="s">
        <v>304</v>
      </c>
      <c r="F114" s="313"/>
      <c r="G114" s="314"/>
      <c r="H114" s="314"/>
      <c r="I114" s="312">
        <v>45768</v>
      </c>
      <c r="J114" s="305" t="s">
        <v>304</v>
      </c>
      <c r="K114" s="313"/>
      <c r="L114" s="314"/>
      <c r="M114" s="314"/>
      <c r="N114" s="312">
        <v>45768</v>
      </c>
      <c r="O114" s="305" t="s">
        <v>304</v>
      </c>
      <c r="P114" s="313"/>
      <c r="Q114" s="314"/>
      <c r="R114" s="314"/>
      <c r="S114" s="539"/>
      <c r="T114" s="291"/>
      <c r="U114" s="291"/>
      <c r="V114" s="316"/>
      <c r="W114" s="316"/>
      <c r="X114" s="316"/>
      <c r="Y114" s="316"/>
      <c r="Z114" s="316"/>
      <c r="AA114" s="316"/>
      <c r="AB114" s="316"/>
      <c r="AC114" s="316"/>
      <c r="AD114" s="316"/>
      <c r="AE114" s="316"/>
    </row>
    <row r="115" spans="1:32" s="239" customFormat="1" ht="14.45" customHeight="1">
      <c r="A115" s="539"/>
      <c r="B115" s="315" t="s">
        <v>321</v>
      </c>
      <c r="C115" s="540"/>
      <c r="D115" s="312">
        <v>45768</v>
      </c>
      <c r="E115" s="305" t="s">
        <v>304</v>
      </c>
      <c r="F115" s="313"/>
      <c r="G115" s="314"/>
      <c r="H115" s="314"/>
      <c r="I115" s="312">
        <v>45768</v>
      </c>
      <c r="J115" s="305" t="s">
        <v>304</v>
      </c>
      <c r="K115" s="313"/>
      <c r="L115" s="314"/>
      <c r="M115" s="314"/>
      <c r="N115" s="312">
        <v>45768</v>
      </c>
      <c r="O115" s="305" t="s">
        <v>304</v>
      </c>
      <c r="P115" s="313"/>
      <c r="Q115" s="314"/>
      <c r="R115" s="314"/>
      <c r="S115" s="539"/>
      <c r="T115" s="291"/>
      <c r="U115" s="291"/>
      <c r="V115" s="316"/>
      <c r="W115" s="316"/>
      <c r="X115" s="316"/>
      <c r="Y115" s="316"/>
      <c r="Z115" s="316"/>
      <c r="AA115" s="316"/>
      <c r="AB115" s="316"/>
      <c r="AC115" s="316"/>
      <c r="AD115" s="316"/>
      <c r="AE115" s="316"/>
    </row>
    <row r="116" spans="1:32" s="239" customFormat="1" ht="14.45" customHeight="1">
      <c r="A116" s="540"/>
      <c r="B116" s="264" t="s">
        <v>322</v>
      </c>
      <c r="C116" s="538" t="s">
        <v>72</v>
      </c>
      <c r="D116" s="312">
        <v>45768</v>
      </c>
      <c r="E116" s="305" t="s">
        <v>304</v>
      </c>
      <c r="F116" s="313"/>
      <c r="G116" s="314"/>
      <c r="H116" s="314"/>
      <c r="I116" s="312">
        <v>45768</v>
      </c>
      <c r="J116" s="305" t="s">
        <v>304</v>
      </c>
      <c r="K116" s="313"/>
      <c r="L116" s="314"/>
      <c r="M116" s="314"/>
      <c r="N116" s="312">
        <v>45768</v>
      </c>
      <c r="O116" s="305" t="s">
        <v>304</v>
      </c>
      <c r="P116" s="313"/>
      <c r="Q116" s="314"/>
      <c r="R116" s="314"/>
      <c r="S116" s="540"/>
      <c r="T116" s="291"/>
      <c r="U116" s="291"/>
      <c r="V116" s="316"/>
      <c r="W116" s="316"/>
      <c r="X116" s="316"/>
      <c r="Y116" s="316"/>
      <c r="Z116" s="316"/>
      <c r="AA116" s="316"/>
      <c r="AB116" s="316"/>
      <c r="AC116" s="316"/>
      <c r="AD116" s="316"/>
      <c r="AE116" s="316"/>
    </row>
    <row r="117" spans="1:32" s="239" customFormat="1" ht="14.45" customHeight="1">
      <c r="A117" s="538" t="s">
        <v>323</v>
      </c>
      <c r="B117" s="264" t="s">
        <v>324</v>
      </c>
      <c r="C117" s="539"/>
      <c r="D117" s="312">
        <v>45768</v>
      </c>
      <c r="E117" s="305" t="s">
        <v>304</v>
      </c>
      <c r="F117" s="313"/>
      <c r="G117" s="314"/>
      <c r="H117" s="314"/>
      <c r="I117" s="312">
        <v>45768</v>
      </c>
      <c r="J117" s="305" t="s">
        <v>304</v>
      </c>
      <c r="K117" s="313"/>
      <c r="L117" s="314"/>
      <c r="M117" s="314"/>
      <c r="N117" s="312">
        <v>45768</v>
      </c>
      <c r="O117" s="305" t="s">
        <v>304</v>
      </c>
      <c r="P117" s="313"/>
      <c r="Q117" s="314"/>
      <c r="R117" s="314"/>
      <c r="S117" s="538" t="s">
        <v>325</v>
      </c>
      <c r="T117" s="291"/>
      <c r="U117" s="291"/>
      <c r="V117" s="316"/>
      <c r="W117" s="316"/>
      <c r="X117" s="316"/>
      <c r="Y117" s="316"/>
      <c r="Z117" s="316"/>
      <c r="AA117" s="316"/>
      <c r="AB117" s="316"/>
      <c r="AC117" s="316"/>
      <c r="AD117" s="316"/>
      <c r="AE117" s="316"/>
    </row>
    <row r="118" spans="1:32" s="239" customFormat="1" ht="14.45" customHeight="1">
      <c r="A118" s="539"/>
      <c r="B118" s="264" t="s">
        <v>264</v>
      </c>
      <c r="C118" s="539"/>
      <c r="D118" s="312">
        <v>45768</v>
      </c>
      <c r="E118" s="305" t="s">
        <v>304</v>
      </c>
      <c r="F118" s="313"/>
      <c r="G118" s="314"/>
      <c r="H118" s="314"/>
      <c r="I118" s="312">
        <v>45768</v>
      </c>
      <c r="J118" s="305" t="s">
        <v>304</v>
      </c>
      <c r="K118" s="313"/>
      <c r="L118" s="314"/>
      <c r="M118" s="314"/>
      <c r="N118" s="312">
        <v>45768</v>
      </c>
      <c r="O118" s="305" t="s">
        <v>304</v>
      </c>
      <c r="P118" s="313"/>
      <c r="Q118" s="314"/>
      <c r="R118" s="314"/>
      <c r="S118" s="539"/>
      <c r="T118" s="291"/>
      <c r="U118" s="291"/>
      <c r="V118" s="316"/>
      <c r="W118" s="316"/>
      <c r="X118" s="316"/>
      <c r="Y118" s="316"/>
      <c r="Z118" s="316"/>
      <c r="AA118" s="316"/>
      <c r="AB118" s="316"/>
      <c r="AC118" s="316"/>
      <c r="AD118" s="316"/>
      <c r="AE118" s="316"/>
    </row>
    <row r="119" spans="1:32" s="239" customFormat="1" ht="14.45" customHeight="1">
      <c r="A119" s="539"/>
      <c r="B119" s="264" t="s">
        <v>326</v>
      </c>
      <c r="C119" s="539"/>
      <c r="D119" s="312">
        <v>45768</v>
      </c>
      <c r="E119" s="305" t="s">
        <v>304</v>
      </c>
      <c r="F119" s="313"/>
      <c r="G119" s="314"/>
      <c r="H119" s="314"/>
      <c r="I119" s="312">
        <v>45768</v>
      </c>
      <c r="J119" s="305" t="s">
        <v>304</v>
      </c>
      <c r="K119" s="313"/>
      <c r="L119" s="314"/>
      <c r="M119" s="314"/>
      <c r="N119" s="312">
        <v>45768</v>
      </c>
      <c r="O119" s="305" t="s">
        <v>304</v>
      </c>
      <c r="P119" s="313"/>
      <c r="Q119" s="314"/>
      <c r="R119" s="314"/>
      <c r="S119" s="539"/>
      <c r="T119" s="291"/>
      <c r="U119" s="291"/>
      <c r="V119" s="316"/>
      <c r="W119" s="316"/>
      <c r="X119" s="316"/>
      <c r="Y119" s="316"/>
      <c r="Z119" s="316"/>
      <c r="AA119" s="316"/>
      <c r="AB119" s="316"/>
      <c r="AC119" s="316"/>
      <c r="AD119" s="316"/>
      <c r="AE119" s="316"/>
    </row>
    <row r="120" spans="1:32" s="239" customFormat="1" ht="14.45" customHeight="1">
      <c r="A120" s="539"/>
      <c r="B120" s="315" t="s">
        <v>327</v>
      </c>
      <c r="C120" s="539"/>
      <c r="D120" s="312">
        <v>45768</v>
      </c>
      <c r="E120" s="305" t="s">
        <v>304</v>
      </c>
      <c r="F120" s="313"/>
      <c r="G120" s="314"/>
      <c r="H120" s="314"/>
      <c r="I120" s="312">
        <v>45768</v>
      </c>
      <c r="J120" s="305" t="s">
        <v>304</v>
      </c>
      <c r="K120" s="313"/>
      <c r="L120" s="314"/>
      <c r="M120" s="314"/>
      <c r="N120" s="312">
        <v>45768</v>
      </c>
      <c r="O120" s="305" t="s">
        <v>304</v>
      </c>
      <c r="P120" s="313"/>
      <c r="Q120" s="314"/>
      <c r="R120" s="314"/>
      <c r="S120" s="539"/>
      <c r="T120" s="291"/>
      <c r="U120" s="291"/>
      <c r="V120" s="316"/>
      <c r="W120" s="316"/>
      <c r="X120" s="316"/>
      <c r="Y120" s="316"/>
      <c r="Z120" s="316"/>
      <c r="AA120" s="316"/>
      <c r="AB120" s="316"/>
      <c r="AC120" s="316"/>
      <c r="AD120" s="316"/>
      <c r="AE120" s="316"/>
    </row>
    <row r="121" spans="1:32" s="239" customFormat="1" ht="14.45" customHeight="1">
      <c r="A121" s="539"/>
      <c r="B121" s="264" t="s">
        <v>328</v>
      </c>
      <c r="C121" s="539"/>
      <c r="D121" s="312">
        <v>45768</v>
      </c>
      <c r="E121" s="305" t="s">
        <v>304</v>
      </c>
      <c r="F121" s="313"/>
      <c r="G121" s="314"/>
      <c r="H121" s="314"/>
      <c r="I121" s="312">
        <v>45768</v>
      </c>
      <c r="J121" s="305" t="s">
        <v>304</v>
      </c>
      <c r="K121" s="313"/>
      <c r="L121" s="314"/>
      <c r="M121" s="314"/>
      <c r="N121" s="312">
        <v>45768</v>
      </c>
      <c r="O121" s="305" t="s">
        <v>304</v>
      </c>
      <c r="P121" s="313"/>
      <c r="Q121" s="314"/>
      <c r="R121" s="314"/>
      <c r="S121" s="539"/>
      <c r="T121" s="291"/>
      <c r="U121" s="291"/>
      <c r="V121" s="316"/>
      <c r="W121" s="316"/>
      <c r="X121" s="316"/>
      <c r="Y121" s="316"/>
      <c r="Z121" s="316"/>
      <c r="AA121" s="316"/>
      <c r="AB121" s="316"/>
      <c r="AC121" s="316"/>
      <c r="AD121" s="316"/>
      <c r="AE121" s="316"/>
    </row>
    <row r="122" spans="1:32" s="239" customFormat="1" ht="14.45" customHeight="1">
      <c r="A122" s="539"/>
      <c r="B122" s="264" t="s">
        <v>329</v>
      </c>
      <c r="C122" s="539"/>
      <c r="D122" s="312">
        <v>45768</v>
      </c>
      <c r="E122" s="305" t="s">
        <v>304</v>
      </c>
      <c r="F122" s="313"/>
      <c r="G122" s="314"/>
      <c r="H122" s="314"/>
      <c r="I122" s="312">
        <v>45768</v>
      </c>
      <c r="J122" s="305" t="s">
        <v>304</v>
      </c>
      <c r="K122" s="313"/>
      <c r="L122" s="314"/>
      <c r="M122" s="314"/>
      <c r="N122" s="312">
        <v>45768</v>
      </c>
      <c r="O122" s="305" t="s">
        <v>304</v>
      </c>
      <c r="P122" s="313"/>
      <c r="Q122" s="314"/>
      <c r="R122" s="314"/>
      <c r="S122" s="539"/>
      <c r="T122" s="291"/>
      <c r="U122" s="291"/>
      <c r="V122" s="316"/>
      <c r="W122" s="316"/>
      <c r="X122" s="316"/>
      <c r="Y122" s="316"/>
      <c r="Z122" s="316"/>
      <c r="AA122" s="316"/>
      <c r="AB122" s="316"/>
      <c r="AC122" s="316"/>
      <c r="AD122" s="316"/>
      <c r="AE122" s="316"/>
    </row>
    <row r="123" spans="1:32" s="239" customFormat="1" ht="14.45" customHeight="1">
      <c r="A123" s="539"/>
      <c r="B123" s="264" t="s">
        <v>327</v>
      </c>
      <c r="C123" s="539"/>
      <c r="D123" s="312">
        <v>45768</v>
      </c>
      <c r="E123" s="305" t="s">
        <v>304</v>
      </c>
      <c r="F123" s="313"/>
      <c r="G123" s="314"/>
      <c r="H123" s="314"/>
      <c r="I123" s="312">
        <v>45768</v>
      </c>
      <c r="J123" s="305" t="s">
        <v>304</v>
      </c>
      <c r="K123" s="313"/>
      <c r="L123" s="314"/>
      <c r="M123" s="314"/>
      <c r="N123" s="312">
        <v>45768</v>
      </c>
      <c r="O123" s="305" t="s">
        <v>304</v>
      </c>
      <c r="P123" s="313"/>
      <c r="Q123" s="314"/>
      <c r="R123" s="314"/>
      <c r="S123" s="539"/>
      <c r="T123" s="291"/>
      <c r="U123" s="291"/>
      <c r="V123" s="316"/>
      <c r="W123" s="316"/>
      <c r="X123" s="316"/>
      <c r="Y123" s="316"/>
      <c r="Z123" s="316"/>
      <c r="AA123" s="316"/>
      <c r="AB123" s="316"/>
      <c r="AC123" s="316"/>
      <c r="AD123" s="316"/>
      <c r="AE123" s="316"/>
    </row>
    <row r="124" spans="1:32" s="239" customFormat="1" ht="14.45" customHeight="1">
      <c r="A124" s="540"/>
      <c r="B124" s="264" t="s">
        <v>330</v>
      </c>
      <c r="C124" s="540"/>
      <c r="D124" s="312">
        <v>45768</v>
      </c>
      <c r="E124" s="305" t="s">
        <v>304</v>
      </c>
      <c r="F124" s="313"/>
      <c r="G124" s="314"/>
      <c r="H124" s="314"/>
      <c r="I124" s="312">
        <v>45768</v>
      </c>
      <c r="J124" s="305" t="s">
        <v>304</v>
      </c>
      <c r="K124" s="313"/>
      <c r="L124" s="314"/>
      <c r="M124" s="314"/>
      <c r="N124" s="312">
        <v>45768</v>
      </c>
      <c r="O124" s="305" t="s">
        <v>304</v>
      </c>
      <c r="P124" s="313"/>
      <c r="Q124" s="314"/>
      <c r="R124" s="314"/>
      <c r="S124" s="540"/>
      <c r="T124" s="291"/>
      <c r="U124" s="291"/>
      <c r="V124" s="316"/>
      <c r="W124" s="316"/>
      <c r="X124" s="316"/>
      <c r="Y124" s="316"/>
      <c r="Z124" s="316"/>
      <c r="AA124" s="316"/>
      <c r="AB124" s="316"/>
      <c r="AC124" s="316"/>
      <c r="AD124" s="316"/>
      <c r="AE124" s="316"/>
    </row>
    <row r="125" spans="1:32" s="239" customFormat="1" ht="14.45" customHeight="1">
      <c r="A125" s="538" t="s">
        <v>331</v>
      </c>
      <c r="B125" s="264" t="s">
        <v>263</v>
      </c>
      <c r="C125" s="538" t="s">
        <v>72</v>
      </c>
      <c r="D125" s="312">
        <v>45768</v>
      </c>
      <c r="E125" s="305" t="s">
        <v>304</v>
      </c>
      <c r="F125" s="313"/>
      <c r="G125" s="314"/>
      <c r="H125" s="314"/>
      <c r="I125" s="312">
        <v>45768</v>
      </c>
      <c r="J125" s="305" t="s">
        <v>304</v>
      </c>
      <c r="K125" s="313"/>
      <c r="L125" s="314"/>
      <c r="M125" s="314"/>
      <c r="N125" s="312">
        <v>45768</v>
      </c>
      <c r="O125" s="305" t="s">
        <v>304</v>
      </c>
      <c r="P125" s="313"/>
      <c r="Q125" s="314"/>
      <c r="R125" s="314"/>
      <c r="S125" s="538" t="s">
        <v>332</v>
      </c>
      <c r="T125" s="291"/>
      <c r="U125" s="291"/>
      <c r="V125" s="316"/>
      <c r="W125" s="316"/>
      <c r="X125" s="316"/>
      <c r="Y125" s="316"/>
      <c r="Z125" s="316"/>
      <c r="AA125" s="316"/>
      <c r="AB125" s="316"/>
      <c r="AC125" s="316"/>
      <c r="AD125" s="316"/>
      <c r="AE125" s="316"/>
    </row>
    <row r="126" spans="1:32" s="239" customFormat="1" ht="14.45" customHeight="1">
      <c r="A126" s="539"/>
      <c r="B126" s="315" t="s">
        <v>264</v>
      </c>
      <c r="C126" s="539"/>
      <c r="D126" s="312">
        <v>45768</v>
      </c>
      <c r="E126" s="305" t="s">
        <v>304</v>
      </c>
      <c r="F126" s="313"/>
      <c r="G126" s="314"/>
      <c r="H126" s="314"/>
      <c r="I126" s="312">
        <v>45768</v>
      </c>
      <c r="J126" s="305" t="s">
        <v>304</v>
      </c>
      <c r="K126" s="313"/>
      <c r="L126" s="314"/>
      <c r="M126" s="314"/>
      <c r="N126" s="312">
        <v>45768</v>
      </c>
      <c r="O126" s="305" t="s">
        <v>304</v>
      </c>
      <c r="P126" s="313"/>
      <c r="Q126" s="314"/>
      <c r="R126" s="314"/>
      <c r="S126" s="539"/>
      <c r="T126" s="291"/>
      <c r="U126" s="291"/>
      <c r="V126" s="316"/>
      <c r="W126" s="316"/>
      <c r="X126" s="316"/>
      <c r="Y126" s="316"/>
      <c r="Z126" s="316"/>
      <c r="AA126" s="316"/>
      <c r="AB126" s="316"/>
      <c r="AC126" s="316"/>
      <c r="AD126" s="316"/>
      <c r="AE126" s="316"/>
    </row>
    <row r="127" spans="1:32" s="239" customFormat="1" ht="14.45" customHeight="1">
      <c r="A127" s="539"/>
      <c r="B127" s="264" t="s">
        <v>282</v>
      </c>
      <c r="C127" s="539"/>
      <c r="D127" s="312">
        <v>45768</v>
      </c>
      <c r="E127" s="305" t="s">
        <v>304</v>
      </c>
      <c r="F127" s="313"/>
      <c r="G127" s="314"/>
      <c r="H127" s="314"/>
      <c r="I127" s="312">
        <v>45768</v>
      </c>
      <c r="J127" s="305" t="s">
        <v>304</v>
      </c>
      <c r="K127" s="313"/>
      <c r="L127" s="314"/>
      <c r="M127" s="314"/>
      <c r="N127" s="312">
        <v>45768</v>
      </c>
      <c r="O127" s="305" t="s">
        <v>304</v>
      </c>
      <c r="P127" s="313"/>
      <c r="Q127" s="314"/>
      <c r="R127" s="314"/>
      <c r="S127" s="539"/>
      <c r="T127" s="291"/>
      <c r="U127" s="291"/>
      <c r="V127" s="316"/>
      <c r="W127" s="316"/>
      <c r="X127" s="316"/>
      <c r="Y127" s="316"/>
      <c r="Z127" s="316"/>
      <c r="AA127" s="316"/>
      <c r="AB127" s="316"/>
      <c r="AC127" s="316"/>
      <c r="AD127" s="316"/>
      <c r="AE127" s="316"/>
    </row>
    <row r="128" spans="1:32" s="239" customFormat="1" ht="18.75" customHeight="1">
      <c r="A128" s="539"/>
      <c r="B128" s="264" t="s">
        <v>283</v>
      </c>
      <c r="C128" s="539"/>
      <c r="D128" s="312">
        <v>45768</v>
      </c>
      <c r="E128" s="305" t="s">
        <v>304</v>
      </c>
      <c r="F128" s="313"/>
      <c r="G128" s="314"/>
      <c r="H128" s="314"/>
      <c r="I128" s="312">
        <v>45768</v>
      </c>
      <c r="J128" s="305" t="s">
        <v>304</v>
      </c>
      <c r="K128" s="313"/>
      <c r="L128" s="314"/>
      <c r="M128" s="314"/>
      <c r="N128" s="312">
        <v>45768</v>
      </c>
      <c r="O128" s="305" t="s">
        <v>304</v>
      </c>
      <c r="P128" s="313"/>
      <c r="Q128" s="314"/>
      <c r="R128" s="314"/>
      <c r="S128" s="539"/>
      <c r="T128" s="291"/>
      <c r="U128" s="291"/>
      <c r="V128" s="316"/>
      <c r="W128" s="316"/>
      <c r="X128" s="316"/>
      <c r="Y128" s="316"/>
      <c r="Z128" s="316"/>
      <c r="AA128" s="316"/>
      <c r="AB128" s="316"/>
      <c r="AC128" s="316"/>
      <c r="AD128" s="316"/>
      <c r="AE128" s="316"/>
      <c r="AF128" s="319"/>
    </row>
    <row r="129" spans="1:33" s="239" customFormat="1" ht="14.45" customHeight="1">
      <c r="A129" s="539"/>
      <c r="B129" s="264" t="s">
        <v>269</v>
      </c>
      <c r="C129" s="539"/>
      <c r="D129" s="312">
        <v>45768</v>
      </c>
      <c r="E129" s="305" t="s">
        <v>304</v>
      </c>
      <c r="F129" s="313"/>
      <c r="G129" s="314"/>
      <c r="H129" s="314"/>
      <c r="I129" s="312">
        <v>45768</v>
      </c>
      <c r="J129" s="305" t="s">
        <v>304</v>
      </c>
      <c r="K129" s="313"/>
      <c r="L129" s="314"/>
      <c r="M129" s="314"/>
      <c r="N129" s="312">
        <v>45768</v>
      </c>
      <c r="O129" s="305" t="s">
        <v>304</v>
      </c>
      <c r="P129" s="313"/>
      <c r="Q129" s="314"/>
      <c r="R129" s="314"/>
      <c r="S129" s="539"/>
      <c r="T129" s="291"/>
      <c r="U129" s="291"/>
      <c r="V129" s="316"/>
      <c r="W129" s="316"/>
      <c r="X129" s="316"/>
      <c r="Y129" s="316"/>
      <c r="Z129" s="316"/>
      <c r="AA129" s="316"/>
      <c r="AB129" s="316"/>
      <c r="AC129" s="316"/>
      <c r="AD129" s="316"/>
      <c r="AE129" s="316"/>
      <c r="AF129" s="319"/>
    </row>
    <row r="130" spans="1:33" s="239" customFormat="1" ht="14.45" customHeight="1">
      <c r="A130" s="539"/>
      <c r="B130" s="264" t="s">
        <v>333</v>
      </c>
      <c r="C130" s="539"/>
      <c r="D130" s="312">
        <v>45768</v>
      </c>
      <c r="E130" s="305" t="s">
        <v>304</v>
      </c>
      <c r="F130" s="313"/>
      <c r="G130" s="314"/>
      <c r="H130" s="314"/>
      <c r="I130" s="312">
        <v>45768</v>
      </c>
      <c r="J130" s="305" t="s">
        <v>304</v>
      </c>
      <c r="K130" s="313"/>
      <c r="L130" s="314"/>
      <c r="M130" s="314"/>
      <c r="N130" s="312">
        <v>45768</v>
      </c>
      <c r="O130" s="305" t="s">
        <v>304</v>
      </c>
      <c r="P130" s="313"/>
      <c r="Q130" s="314"/>
      <c r="R130" s="314"/>
      <c r="S130" s="539"/>
      <c r="T130" s="291"/>
      <c r="U130" s="291"/>
      <c r="V130" s="316"/>
      <c r="W130" s="316"/>
      <c r="X130" s="316"/>
      <c r="Y130" s="316"/>
      <c r="Z130" s="316"/>
      <c r="AA130" s="316"/>
      <c r="AB130" s="316"/>
      <c r="AC130" s="316"/>
      <c r="AD130" s="316"/>
      <c r="AE130" s="316"/>
      <c r="AF130" s="11"/>
    </row>
    <row r="131" spans="1:33" s="239" customFormat="1" ht="14.45" customHeight="1">
      <c r="A131" s="539"/>
      <c r="B131" s="315" t="s">
        <v>334</v>
      </c>
      <c r="C131" s="539"/>
      <c r="D131" s="312">
        <v>45768</v>
      </c>
      <c r="E131" s="305" t="s">
        <v>304</v>
      </c>
      <c r="F131" s="313"/>
      <c r="G131" s="314"/>
      <c r="H131" s="314"/>
      <c r="I131" s="312">
        <v>45768</v>
      </c>
      <c r="J131" s="305" t="s">
        <v>304</v>
      </c>
      <c r="K131" s="313"/>
      <c r="L131" s="314"/>
      <c r="M131" s="314"/>
      <c r="N131" s="312">
        <v>45768</v>
      </c>
      <c r="O131" s="305" t="s">
        <v>304</v>
      </c>
      <c r="P131" s="313"/>
      <c r="Q131" s="314"/>
      <c r="R131" s="314"/>
      <c r="S131" s="539"/>
      <c r="T131" s="291"/>
      <c r="U131" s="291"/>
      <c r="V131" s="316"/>
      <c r="W131" s="316"/>
      <c r="X131" s="316"/>
      <c r="Y131" s="316"/>
      <c r="Z131" s="316"/>
      <c r="AA131" s="316"/>
      <c r="AB131" s="316"/>
      <c r="AC131" s="316"/>
      <c r="AD131" s="316"/>
      <c r="AE131" s="316"/>
      <c r="AF131" s="10"/>
    </row>
    <row r="132" spans="1:33" s="239" customFormat="1" ht="14.45" customHeight="1">
      <c r="A132" s="539"/>
      <c r="B132" s="264" t="s">
        <v>335</v>
      </c>
      <c r="C132" s="539"/>
      <c r="D132" s="312">
        <v>45768</v>
      </c>
      <c r="E132" s="305" t="s">
        <v>304</v>
      </c>
      <c r="F132" s="313"/>
      <c r="G132" s="314"/>
      <c r="H132" s="314"/>
      <c r="I132" s="312">
        <v>45768</v>
      </c>
      <c r="J132" s="305" t="s">
        <v>304</v>
      </c>
      <c r="K132" s="313"/>
      <c r="L132" s="314"/>
      <c r="M132" s="314"/>
      <c r="N132" s="312">
        <v>45768</v>
      </c>
      <c r="O132" s="305" t="s">
        <v>304</v>
      </c>
      <c r="P132" s="313"/>
      <c r="Q132" s="314"/>
      <c r="R132" s="314"/>
      <c r="S132" s="539"/>
      <c r="T132" s="291"/>
      <c r="U132" s="291"/>
      <c r="V132" s="316"/>
      <c r="W132" s="316"/>
      <c r="X132" s="316"/>
      <c r="Y132" s="316"/>
      <c r="Z132" s="316"/>
      <c r="AA132" s="316"/>
      <c r="AB132" s="316"/>
      <c r="AC132" s="316"/>
      <c r="AD132" s="316"/>
      <c r="AE132" s="316"/>
      <c r="AF132" s="11"/>
    </row>
    <row r="133" spans="1:33" s="239" customFormat="1" ht="14.45" customHeight="1">
      <c r="A133" s="539"/>
      <c r="B133" s="264" t="s">
        <v>336</v>
      </c>
      <c r="C133" s="540"/>
      <c r="D133" s="312">
        <v>45768</v>
      </c>
      <c r="E133" s="305" t="s">
        <v>304</v>
      </c>
      <c r="F133" s="313"/>
      <c r="G133" s="314"/>
      <c r="H133" s="314"/>
      <c r="I133" s="312">
        <v>45768</v>
      </c>
      <c r="J133" s="305" t="s">
        <v>304</v>
      </c>
      <c r="K133" s="313"/>
      <c r="L133" s="314"/>
      <c r="M133" s="314"/>
      <c r="N133" s="312">
        <v>45768</v>
      </c>
      <c r="O133" s="305" t="s">
        <v>304</v>
      </c>
      <c r="P133" s="313"/>
      <c r="Q133" s="314"/>
      <c r="R133" s="314"/>
      <c r="S133" s="539"/>
      <c r="T133" s="291"/>
      <c r="U133" s="291"/>
      <c r="V133" s="316"/>
      <c r="W133" s="316"/>
      <c r="X133" s="316"/>
      <c r="Y133" s="316"/>
      <c r="Z133" s="316"/>
      <c r="AA133" s="316"/>
      <c r="AB133" s="316"/>
      <c r="AC133" s="316"/>
      <c r="AD133" s="316"/>
      <c r="AE133" s="316"/>
      <c r="AF133" s="10"/>
    </row>
    <row r="134" spans="1:33" s="239" customFormat="1" ht="14.45" customHeight="1">
      <c r="A134" s="539"/>
      <c r="B134" s="264" t="s">
        <v>337</v>
      </c>
      <c r="C134" s="538" t="s">
        <v>72</v>
      </c>
      <c r="D134" s="312">
        <v>45768</v>
      </c>
      <c r="E134" s="305" t="s">
        <v>304</v>
      </c>
      <c r="F134" s="313"/>
      <c r="G134" s="314"/>
      <c r="H134" s="314"/>
      <c r="I134" s="312">
        <v>45768</v>
      </c>
      <c r="J134" s="305" t="s">
        <v>304</v>
      </c>
      <c r="K134" s="313"/>
      <c r="L134" s="314"/>
      <c r="M134" s="314"/>
      <c r="N134" s="312">
        <v>45768</v>
      </c>
      <c r="O134" s="305" t="s">
        <v>304</v>
      </c>
      <c r="P134" s="313"/>
      <c r="Q134" s="314"/>
      <c r="R134" s="314"/>
      <c r="S134" s="539"/>
      <c r="T134" s="291"/>
      <c r="U134" s="291"/>
      <c r="V134" s="316"/>
      <c r="W134" s="316"/>
      <c r="X134" s="316"/>
      <c r="Y134" s="316"/>
      <c r="Z134" s="316"/>
      <c r="AA134" s="316"/>
      <c r="AB134" s="316"/>
      <c r="AC134" s="316"/>
      <c r="AD134" s="316"/>
      <c r="AE134" s="316"/>
      <c r="AF134" s="11"/>
    </row>
    <row r="135" spans="1:33" s="239" customFormat="1" ht="14.45" customHeight="1">
      <c r="A135" s="539"/>
      <c r="B135" s="264" t="s">
        <v>338</v>
      </c>
      <c r="C135" s="539"/>
      <c r="D135" s="312">
        <v>45768</v>
      </c>
      <c r="E135" s="305" t="s">
        <v>304</v>
      </c>
      <c r="F135" s="313"/>
      <c r="G135" s="314"/>
      <c r="H135" s="314"/>
      <c r="I135" s="312">
        <v>45768</v>
      </c>
      <c r="J135" s="305" t="s">
        <v>304</v>
      </c>
      <c r="K135" s="313"/>
      <c r="L135" s="314"/>
      <c r="M135" s="314"/>
      <c r="N135" s="312">
        <v>45768</v>
      </c>
      <c r="O135" s="305" t="s">
        <v>304</v>
      </c>
      <c r="P135" s="313"/>
      <c r="Q135" s="314"/>
      <c r="R135" s="314"/>
      <c r="S135" s="539"/>
      <c r="T135" s="291"/>
      <c r="U135" s="291"/>
      <c r="V135" s="316"/>
      <c r="W135" s="316"/>
      <c r="X135" s="316"/>
      <c r="Y135" s="316"/>
      <c r="Z135" s="316"/>
      <c r="AA135" s="316"/>
      <c r="AB135" s="316"/>
      <c r="AC135" s="316"/>
      <c r="AD135" s="316"/>
      <c r="AE135" s="316"/>
      <c r="AF135" s="10"/>
    </row>
    <row r="136" spans="1:33" s="239" customFormat="1" ht="14.45" customHeight="1">
      <c r="A136" s="539"/>
      <c r="B136" s="264"/>
      <c r="C136" s="539"/>
      <c r="D136" s="312">
        <v>45768</v>
      </c>
      <c r="E136" s="305" t="s">
        <v>304</v>
      </c>
      <c r="F136" s="313"/>
      <c r="G136" s="314"/>
      <c r="H136" s="314"/>
      <c r="I136" s="312">
        <v>45768</v>
      </c>
      <c r="J136" s="305" t="s">
        <v>304</v>
      </c>
      <c r="K136" s="313"/>
      <c r="L136" s="314"/>
      <c r="M136" s="314"/>
      <c r="N136" s="312">
        <v>45768</v>
      </c>
      <c r="O136" s="305" t="s">
        <v>304</v>
      </c>
      <c r="P136" s="313"/>
      <c r="Q136" s="314"/>
      <c r="R136" s="314"/>
      <c r="S136" s="539"/>
      <c r="T136" s="291"/>
      <c r="U136" s="291"/>
      <c r="V136" s="316"/>
      <c r="W136" s="316"/>
      <c r="X136" s="316"/>
      <c r="Y136" s="316"/>
      <c r="Z136" s="316"/>
      <c r="AA136" s="316"/>
      <c r="AB136" s="316"/>
      <c r="AC136" s="316"/>
      <c r="AD136" s="316"/>
      <c r="AE136" s="316"/>
      <c r="AF136" s="11"/>
    </row>
    <row r="137" spans="1:33" s="239" customFormat="1" ht="14.45" customHeight="1">
      <c r="A137" s="539"/>
      <c r="B137" s="315" t="s">
        <v>274</v>
      </c>
      <c r="C137" s="539"/>
      <c r="D137" s="312">
        <v>45768</v>
      </c>
      <c r="E137" s="305" t="s">
        <v>304</v>
      </c>
      <c r="F137" s="313"/>
      <c r="G137" s="314"/>
      <c r="H137" s="314"/>
      <c r="I137" s="312">
        <v>45768</v>
      </c>
      <c r="J137" s="305" t="s">
        <v>304</v>
      </c>
      <c r="K137" s="313"/>
      <c r="L137" s="314"/>
      <c r="M137" s="314"/>
      <c r="N137" s="312">
        <v>45768</v>
      </c>
      <c r="O137" s="305" t="s">
        <v>304</v>
      </c>
      <c r="P137" s="313"/>
      <c r="Q137" s="314"/>
      <c r="R137" s="314"/>
      <c r="S137" s="539"/>
      <c r="T137" s="291"/>
      <c r="U137" s="291"/>
      <c r="V137" s="316"/>
      <c r="W137" s="316"/>
      <c r="X137" s="316"/>
      <c r="Y137" s="316"/>
      <c r="Z137" s="316"/>
      <c r="AA137" s="316"/>
      <c r="AB137" s="316"/>
      <c r="AC137" s="316"/>
      <c r="AD137" s="316"/>
      <c r="AE137" s="316"/>
      <c r="AF137" s="319"/>
    </row>
    <row r="138" spans="1:33" s="239" customFormat="1" ht="14.45" customHeight="1">
      <c r="A138" s="539"/>
      <c r="B138" s="264" t="s">
        <v>339</v>
      </c>
      <c r="C138" s="539"/>
      <c r="D138" s="312">
        <v>45768</v>
      </c>
      <c r="E138" s="305" t="s">
        <v>304</v>
      </c>
      <c r="F138" s="313"/>
      <c r="G138" s="314"/>
      <c r="H138" s="314"/>
      <c r="I138" s="312">
        <v>45768</v>
      </c>
      <c r="J138" s="305" t="s">
        <v>304</v>
      </c>
      <c r="K138" s="313"/>
      <c r="L138" s="314"/>
      <c r="M138" s="314"/>
      <c r="N138" s="312">
        <v>45768</v>
      </c>
      <c r="O138" s="305" t="s">
        <v>304</v>
      </c>
      <c r="P138" s="313"/>
      <c r="Q138" s="314"/>
      <c r="R138" s="314"/>
      <c r="S138" s="539"/>
      <c r="T138" s="291"/>
      <c r="U138" s="291"/>
      <c r="V138" s="316"/>
      <c r="W138" s="316"/>
      <c r="X138" s="316"/>
      <c r="Y138" s="316"/>
      <c r="Z138" s="316"/>
      <c r="AA138" s="316"/>
      <c r="AB138" s="316"/>
      <c r="AC138" s="316"/>
      <c r="AD138" s="316"/>
      <c r="AE138" s="316"/>
    </row>
    <row r="139" spans="1:33" s="239" customFormat="1" ht="14.45" customHeight="1">
      <c r="A139" s="540"/>
      <c r="B139" s="264" t="s">
        <v>275</v>
      </c>
      <c r="C139" s="539"/>
      <c r="D139" s="312">
        <v>45768</v>
      </c>
      <c r="E139" s="305" t="s">
        <v>304</v>
      </c>
      <c r="F139" s="313"/>
      <c r="G139" s="314"/>
      <c r="H139" s="314"/>
      <c r="I139" s="312">
        <v>45768</v>
      </c>
      <c r="J139" s="305" t="s">
        <v>304</v>
      </c>
      <c r="K139" s="313"/>
      <c r="L139" s="314"/>
      <c r="M139" s="314"/>
      <c r="N139" s="312">
        <v>45768</v>
      </c>
      <c r="O139" s="305" t="s">
        <v>304</v>
      </c>
      <c r="P139" s="313"/>
      <c r="Q139" s="314"/>
      <c r="R139" s="314"/>
      <c r="S139" s="540"/>
      <c r="T139" s="291"/>
      <c r="U139" s="291"/>
      <c r="V139" s="316"/>
      <c r="W139" s="316"/>
      <c r="X139" s="316"/>
      <c r="Y139" s="316"/>
      <c r="Z139" s="316"/>
      <c r="AA139" s="316"/>
      <c r="AB139" s="316"/>
      <c r="AC139" s="316"/>
      <c r="AD139" s="316"/>
      <c r="AE139" s="316"/>
    </row>
    <row r="140" spans="1:33" s="239" customFormat="1" ht="14.45" customHeight="1">
      <c r="A140" s="538" t="s">
        <v>340</v>
      </c>
      <c r="B140" s="264" t="s">
        <v>341</v>
      </c>
      <c r="C140" s="539"/>
      <c r="D140" s="312">
        <v>45768</v>
      </c>
      <c r="E140" s="305" t="s">
        <v>304</v>
      </c>
      <c r="F140" s="313"/>
      <c r="G140" s="314"/>
      <c r="H140" s="314"/>
      <c r="I140" s="312">
        <v>45768</v>
      </c>
      <c r="J140" s="305" t="s">
        <v>304</v>
      </c>
      <c r="K140" s="313"/>
      <c r="L140" s="314"/>
      <c r="M140" s="314"/>
      <c r="N140" s="312">
        <v>45768</v>
      </c>
      <c r="O140" s="305" t="s">
        <v>304</v>
      </c>
      <c r="P140" s="313"/>
      <c r="Q140" s="314"/>
      <c r="R140" s="314"/>
      <c r="S140" s="538" t="s">
        <v>342</v>
      </c>
      <c r="T140" s="291"/>
      <c r="U140" s="291"/>
      <c r="V140" s="316"/>
      <c r="W140" s="316"/>
      <c r="X140" s="316"/>
      <c r="Y140" s="316"/>
      <c r="Z140" s="316"/>
      <c r="AA140" s="316"/>
      <c r="AB140" s="316"/>
      <c r="AC140" s="316"/>
      <c r="AD140" s="316"/>
      <c r="AE140" s="316"/>
    </row>
    <row r="141" spans="1:33" s="239" customFormat="1" ht="14.45" customHeight="1">
      <c r="A141" s="539"/>
      <c r="B141" s="264" t="s">
        <v>300</v>
      </c>
      <c r="C141" s="539"/>
      <c r="D141" s="312">
        <v>45768</v>
      </c>
      <c r="E141" s="305" t="s">
        <v>304</v>
      </c>
      <c r="F141" s="313"/>
      <c r="G141" s="314"/>
      <c r="H141" s="314"/>
      <c r="I141" s="312">
        <v>45768</v>
      </c>
      <c r="J141" s="305" t="s">
        <v>304</v>
      </c>
      <c r="K141" s="313"/>
      <c r="L141" s="314"/>
      <c r="M141" s="314"/>
      <c r="N141" s="312">
        <v>45768</v>
      </c>
      <c r="O141" s="305" t="s">
        <v>304</v>
      </c>
      <c r="P141" s="313"/>
      <c r="Q141" s="314"/>
      <c r="R141" s="314"/>
      <c r="S141" s="539"/>
      <c r="T141" s="291"/>
      <c r="U141" s="291"/>
      <c r="V141" s="316"/>
      <c r="W141" s="316"/>
      <c r="X141" s="316"/>
      <c r="Y141" s="316"/>
      <c r="Z141" s="316"/>
      <c r="AA141" s="316"/>
      <c r="AB141" s="316"/>
      <c r="AC141" s="316"/>
      <c r="AD141" s="316"/>
      <c r="AE141" s="316"/>
      <c r="AF141" s="319"/>
      <c r="AG141" s="319"/>
    </row>
    <row r="142" spans="1:33" s="239" customFormat="1" ht="14.45" customHeight="1">
      <c r="A142" s="539"/>
      <c r="B142" s="315" t="s">
        <v>290</v>
      </c>
      <c r="C142" s="540"/>
      <c r="D142" s="312">
        <v>45768</v>
      </c>
      <c r="E142" s="305" t="s">
        <v>304</v>
      </c>
      <c r="F142" s="313"/>
      <c r="G142" s="314"/>
      <c r="H142" s="314"/>
      <c r="I142" s="312">
        <v>45768</v>
      </c>
      <c r="J142" s="305" t="s">
        <v>304</v>
      </c>
      <c r="K142" s="313"/>
      <c r="L142" s="314"/>
      <c r="M142" s="314"/>
      <c r="N142" s="312">
        <v>45768</v>
      </c>
      <c r="O142" s="305" t="s">
        <v>304</v>
      </c>
      <c r="P142" s="313"/>
      <c r="Q142" s="314"/>
      <c r="R142" s="314"/>
      <c r="S142" s="539"/>
      <c r="T142" s="291"/>
      <c r="U142" s="291"/>
      <c r="V142" s="316"/>
      <c r="W142" s="316"/>
      <c r="X142" s="316"/>
      <c r="Y142" s="316"/>
      <c r="Z142" s="316"/>
      <c r="AA142" s="316"/>
      <c r="AB142" s="316"/>
      <c r="AC142" s="316"/>
      <c r="AD142" s="316"/>
      <c r="AE142" s="316"/>
      <c r="AF142" s="319"/>
      <c r="AG142" s="319"/>
    </row>
    <row r="143" spans="1:33" s="239" customFormat="1" ht="14.45" customHeight="1">
      <c r="A143" s="539"/>
      <c r="B143" s="264"/>
      <c r="C143" s="538" t="s">
        <v>72</v>
      </c>
      <c r="D143" s="312">
        <v>45768</v>
      </c>
      <c r="E143" s="305" t="s">
        <v>304</v>
      </c>
      <c r="F143" s="313"/>
      <c r="G143" s="314"/>
      <c r="H143" s="314"/>
      <c r="I143" s="312">
        <v>45768</v>
      </c>
      <c r="J143" s="305" t="s">
        <v>304</v>
      </c>
      <c r="K143" s="313"/>
      <c r="L143" s="314"/>
      <c r="M143" s="314"/>
      <c r="N143" s="312">
        <v>45768</v>
      </c>
      <c r="O143" s="305" t="s">
        <v>304</v>
      </c>
      <c r="P143" s="313"/>
      <c r="Q143" s="314"/>
      <c r="R143" s="314"/>
      <c r="S143" s="539"/>
      <c r="T143" s="291"/>
      <c r="U143" s="291"/>
      <c r="V143" s="316"/>
      <c r="W143" s="316"/>
      <c r="X143" s="316"/>
      <c r="Y143" s="316"/>
      <c r="Z143" s="316"/>
      <c r="AA143" s="316"/>
      <c r="AB143" s="316"/>
      <c r="AC143" s="316"/>
      <c r="AD143" s="316"/>
      <c r="AE143" s="316"/>
      <c r="AF143" s="9"/>
      <c r="AG143" s="10"/>
    </row>
    <row r="144" spans="1:33" s="239" customFormat="1" ht="14.45" customHeight="1">
      <c r="A144" s="539"/>
      <c r="B144" s="264"/>
      <c r="C144" s="539"/>
      <c r="D144" s="312">
        <v>45768</v>
      </c>
      <c r="E144" s="305" t="s">
        <v>304</v>
      </c>
      <c r="F144" s="313"/>
      <c r="G144" s="314"/>
      <c r="H144" s="314"/>
      <c r="I144" s="312">
        <v>45768</v>
      </c>
      <c r="J144" s="305" t="s">
        <v>304</v>
      </c>
      <c r="K144" s="313"/>
      <c r="L144" s="314"/>
      <c r="M144" s="314"/>
      <c r="N144" s="312">
        <v>45768</v>
      </c>
      <c r="O144" s="305" t="s">
        <v>304</v>
      </c>
      <c r="P144" s="313"/>
      <c r="Q144" s="314"/>
      <c r="R144" s="314"/>
      <c r="S144" s="539"/>
      <c r="T144" s="291"/>
      <c r="U144" s="291"/>
      <c r="V144" s="316"/>
      <c r="W144" s="316"/>
      <c r="X144" s="316"/>
      <c r="Y144" s="316"/>
      <c r="Z144" s="316"/>
      <c r="AA144" s="316"/>
      <c r="AB144" s="316"/>
      <c r="AC144" s="316"/>
      <c r="AD144" s="316"/>
      <c r="AE144" s="316"/>
      <c r="AF144" s="12"/>
      <c r="AG144" s="11"/>
    </row>
    <row r="145" spans="1:33" s="239" customFormat="1" ht="14.45" customHeight="1">
      <c r="A145" s="539"/>
      <c r="B145" s="264" t="s">
        <v>343</v>
      </c>
      <c r="C145" s="539"/>
      <c r="D145" s="312">
        <v>45768</v>
      </c>
      <c r="E145" s="305" t="s">
        <v>304</v>
      </c>
      <c r="F145" s="313"/>
      <c r="G145" s="314"/>
      <c r="H145" s="314"/>
      <c r="I145" s="312">
        <v>45768</v>
      </c>
      <c r="J145" s="305" t="s">
        <v>304</v>
      </c>
      <c r="K145" s="313"/>
      <c r="L145" s="314"/>
      <c r="M145" s="314"/>
      <c r="N145" s="312">
        <v>45768</v>
      </c>
      <c r="O145" s="305" t="s">
        <v>304</v>
      </c>
      <c r="P145" s="313"/>
      <c r="Q145" s="314"/>
      <c r="R145" s="314"/>
      <c r="S145" s="539"/>
      <c r="T145" s="291"/>
      <c r="U145" s="291"/>
      <c r="V145" s="316"/>
      <c r="W145" s="316"/>
      <c r="X145" s="316"/>
      <c r="Y145" s="316"/>
      <c r="Z145" s="316"/>
      <c r="AA145" s="316"/>
      <c r="AB145" s="316"/>
      <c r="AC145" s="316"/>
      <c r="AD145" s="316"/>
      <c r="AE145" s="316"/>
      <c r="AF145" s="9"/>
      <c r="AG145" s="10"/>
    </row>
    <row r="146" spans="1:33" s="239" customFormat="1" ht="14.45" customHeight="1">
      <c r="A146" s="539"/>
      <c r="B146" s="264"/>
      <c r="C146" s="539"/>
      <c r="D146" s="312">
        <v>45768</v>
      </c>
      <c r="E146" s="305" t="s">
        <v>304</v>
      </c>
      <c r="F146" s="313"/>
      <c r="G146" s="314"/>
      <c r="H146" s="314"/>
      <c r="I146" s="312">
        <v>45768</v>
      </c>
      <c r="J146" s="305" t="s">
        <v>304</v>
      </c>
      <c r="K146" s="313"/>
      <c r="L146" s="314"/>
      <c r="M146" s="314"/>
      <c r="N146" s="312">
        <v>45768</v>
      </c>
      <c r="O146" s="305" t="s">
        <v>304</v>
      </c>
      <c r="P146" s="313"/>
      <c r="Q146" s="314"/>
      <c r="R146" s="314"/>
      <c r="S146" s="539"/>
      <c r="T146" s="291"/>
      <c r="U146" s="291"/>
      <c r="V146" s="316"/>
      <c r="W146" s="316"/>
      <c r="X146" s="316"/>
      <c r="Y146" s="316"/>
      <c r="Z146" s="316"/>
      <c r="AA146" s="316"/>
      <c r="AB146" s="316"/>
      <c r="AC146" s="316"/>
      <c r="AD146" s="316"/>
      <c r="AE146" s="316"/>
    </row>
    <row r="147" spans="1:33" s="239" customFormat="1" ht="14.45" customHeight="1">
      <c r="A147" s="539"/>
      <c r="B147" s="264"/>
      <c r="C147" s="539"/>
      <c r="D147" s="312">
        <v>45768</v>
      </c>
      <c r="E147" s="305" t="s">
        <v>304</v>
      </c>
      <c r="F147" s="313"/>
      <c r="G147" s="314"/>
      <c r="H147" s="314"/>
      <c r="I147" s="312">
        <v>45768</v>
      </c>
      <c r="J147" s="305" t="s">
        <v>304</v>
      </c>
      <c r="K147" s="313"/>
      <c r="L147" s="314"/>
      <c r="M147" s="314"/>
      <c r="N147" s="312">
        <v>45768</v>
      </c>
      <c r="O147" s="305" t="s">
        <v>304</v>
      </c>
      <c r="P147" s="313"/>
      <c r="Q147" s="314"/>
      <c r="R147" s="314"/>
      <c r="S147" s="539"/>
      <c r="T147" s="291"/>
      <c r="U147" s="291"/>
      <c r="V147" s="316"/>
      <c r="W147" s="316"/>
      <c r="X147" s="316"/>
      <c r="Y147" s="316"/>
      <c r="Z147" s="316"/>
      <c r="AA147" s="316"/>
      <c r="AB147" s="316"/>
      <c r="AC147" s="316"/>
      <c r="AD147" s="316"/>
      <c r="AE147" s="316"/>
    </row>
    <row r="148" spans="1:33" s="239" customFormat="1" ht="14.45" customHeight="1">
      <c r="A148" s="539"/>
      <c r="B148" s="315"/>
      <c r="C148" s="539"/>
      <c r="D148" s="312">
        <v>45768</v>
      </c>
      <c r="E148" s="305" t="s">
        <v>304</v>
      </c>
      <c r="F148" s="313"/>
      <c r="G148" s="314"/>
      <c r="H148" s="314"/>
      <c r="I148" s="312">
        <v>45768</v>
      </c>
      <c r="J148" s="305" t="s">
        <v>304</v>
      </c>
      <c r="K148" s="313"/>
      <c r="L148" s="314"/>
      <c r="M148" s="314"/>
      <c r="N148" s="312">
        <v>45768</v>
      </c>
      <c r="O148" s="305" t="s">
        <v>304</v>
      </c>
      <c r="P148" s="313"/>
      <c r="Q148" s="314"/>
      <c r="R148" s="314"/>
      <c r="S148" s="539"/>
      <c r="T148" s="291"/>
      <c r="U148" s="291"/>
      <c r="V148" s="316"/>
      <c r="W148" s="316"/>
      <c r="X148" s="316"/>
      <c r="Y148" s="316"/>
      <c r="Z148" s="316"/>
      <c r="AA148" s="316"/>
      <c r="AB148" s="316"/>
      <c r="AC148" s="316"/>
      <c r="AD148" s="316"/>
      <c r="AE148" s="316"/>
    </row>
    <row r="149" spans="1:33" s="239" customFormat="1" ht="14.45" customHeight="1">
      <c r="A149" s="539"/>
      <c r="B149" s="264" t="s">
        <v>344</v>
      </c>
      <c r="C149" s="539"/>
      <c r="D149" s="312">
        <v>45768</v>
      </c>
      <c r="E149" s="305" t="s">
        <v>304</v>
      </c>
      <c r="F149" s="313"/>
      <c r="G149" s="314"/>
      <c r="H149" s="314"/>
      <c r="I149" s="312">
        <v>45768</v>
      </c>
      <c r="J149" s="305" t="s">
        <v>304</v>
      </c>
      <c r="K149" s="313"/>
      <c r="L149" s="314"/>
      <c r="M149" s="314"/>
      <c r="N149" s="312">
        <v>45768</v>
      </c>
      <c r="O149" s="305" t="s">
        <v>304</v>
      </c>
      <c r="P149" s="313"/>
      <c r="Q149" s="314"/>
      <c r="R149" s="314"/>
      <c r="S149" s="539"/>
      <c r="T149" s="291"/>
      <c r="U149" s="291"/>
      <c r="V149" s="316"/>
      <c r="W149" s="316"/>
      <c r="X149" s="316"/>
      <c r="Y149" s="316"/>
      <c r="Z149" s="316"/>
      <c r="AA149" s="316"/>
      <c r="AB149" s="316"/>
      <c r="AC149" s="316"/>
      <c r="AD149" s="316"/>
      <c r="AE149" s="316"/>
    </row>
    <row r="150" spans="1:33" s="239" customFormat="1" ht="14.45" customHeight="1">
      <c r="A150" s="539"/>
      <c r="B150" s="264" t="s">
        <v>290</v>
      </c>
      <c r="C150" s="539"/>
      <c r="D150" s="312">
        <v>45768</v>
      </c>
      <c r="E150" s="305" t="s">
        <v>304</v>
      </c>
      <c r="F150" s="313"/>
      <c r="G150" s="314"/>
      <c r="H150" s="314"/>
      <c r="I150" s="312">
        <v>45768</v>
      </c>
      <c r="J150" s="305" t="s">
        <v>304</v>
      </c>
      <c r="K150" s="313"/>
      <c r="L150" s="314"/>
      <c r="M150" s="314"/>
      <c r="N150" s="312">
        <v>45768</v>
      </c>
      <c r="O150" s="305" t="s">
        <v>304</v>
      </c>
      <c r="P150" s="313"/>
      <c r="Q150" s="314"/>
      <c r="R150" s="314"/>
      <c r="S150" s="539"/>
      <c r="T150" s="291"/>
      <c r="U150" s="291"/>
      <c r="V150" s="316"/>
      <c r="W150" s="316"/>
      <c r="X150" s="316"/>
      <c r="Y150" s="316"/>
      <c r="Z150" s="316"/>
      <c r="AA150" s="316"/>
      <c r="AB150" s="316"/>
      <c r="AC150" s="316"/>
      <c r="AD150" s="316"/>
      <c r="AE150" s="316"/>
    </row>
    <row r="151" spans="1:33" s="239" customFormat="1" ht="14.45" customHeight="1">
      <c r="A151" s="540"/>
      <c r="B151" s="264" t="s">
        <v>290</v>
      </c>
      <c r="C151" s="540"/>
      <c r="D151" s="312">
        <v>45768</v>
      </c>
      <c r="E151" s="305" t="s">
        <v>304</v>
      </c>
      <c r="F151" s="313"/>
      <c r="G151" s="314"/>
      <c r="H151" s="314"/>
      <c r="I151" s="312">
        <v>45768</v>
      </c>
      <c r="J151" s="305" t="s">
        <v>304</v>
      </c>
      <c r="K151" s="313"/>
      <c r="L151" s="314"/>
      <c r="M151" s="314"/>
      <c r="N151" s="312">
        <v>45768</v>
      </c>
      <c r="O151" s="305" t="s">
        <v>304</v>
      </c>
      <c r="P151" s="313"/>
      <c r="Q151" s="314"/>
      <c r="R151" s="314"/>
      <c r="S151" s="540"/>
      <c r="T151" s="291"/>
      <c r="U151" s="291"/>
      <c r="V151" s="316"/>
      <c r="W151" s="316"/>
      <c r="X151" s="316"/>
      <c r="Y151" s="316"/>
      <c r="Z151" s="316"/>
      <c r="AA151" s="316"/>
      <c r="AB151" s="316"/>
      <c r="AC151" s="316"/>
      <c r="AD151" s="316"/>
      <c r="AE151" s="316"/>
    </row>
    <row r="152" spans="1:33" s="239" customFormat="1" ht="14.45" customHeight="1">
      <c r="A152" s="538" t="s">
        <v>345</v>
      </c>
      <c r="B152" s="264" t="s">
        <v>346</v>
      </c>
      <c r="C152" s="538" t="s">
        <v>72</v>
      </c>
      <c r="D152" s="312">
        <v>45768</v>
      </c>
      <c r="E152" s="305" t="s">
        <v>304</v>
      </c>
      <c r="F152" s="313"/>
      <c r="G152" s="314"/>
      <c r="H152" s="314"/>
      <c r="I152" s="312">
        <v>45768</v>
      </c>
      <c r="J152" s="305" t="s">
        <v>304</v>
      </c>
      <c r="K152" s="313"/>
      <c r="L152" s="314"/>
      <c r="M152" s="314"/>
      <c r="N152" s="312">
        <v>45768</v>
      </c>
      <c r="O152" s="305" t="s">
        <v>304</v>
      </c>
      <c r="P152" s="313"/>
      <c r="Q152" s="314"/>
      <c r="R152" s="314"/>
      <c r="S152" s="538" t="s">
        <v>347</v>
      </c>
      <c r="T152" s="291"/>
      <c r="U152" s="291"/>
      <c r="V152" s="316"/>
      <c r="W152" s="316"/>
      <c r="X152" s="316"/>
      <c r="Y152" s="316"/>
      <c r="Z152" s="316"/>
      <c r="AA152" s="316"/>
      <c r="AB152" s="316"/>
      <c r="AC152" s="316"/>
      <c r="AD152" s="316"/>
      <c r="AE152" s="316"/>
    </row>
    <row r="153" spans="1:33" s="239" customFormat="1" ht="14.45" customHeight="1">
      <c r="A153" s="539"/>
      <c r="B153" s="315" t="s">
        <v>206</v>
      </c>
      <c r="C153" s="539"/>
      <c r="D153" s="312">
        <v>45768</v>
      </c>
      <c r="E153" s="305" t="s">
        <v>304</v>
      </c>
      <c r="F153" s="313"/>
      <c r="G153" s="314"/>
      <c r="H153" s="314"/>
      <c r="I153" s="312">
        <v>45768</v>
      </c>
      <c r="J153" s="305" t="s">
        <v>304</v>
      </c>
      <c r="K153" s="313"/>
      <c r="L153" s="314"/>
      <c r="M153" s="314"/>
      <c r="N153" s="312">
        <v>45768</v>
      </c>
      <c r="O153" s="305" t="s">
        <v>304</v>
      </c>
      <c r="P153" s="313"/>
      <c r="Q153" s="314"/>
      <c r="R153" s="314"/>
      <c r="S153" s="539"/>
      <c r="T153" s="291"/>
      <c r="U153" s="291"/>
      <c r="V153" s="316"/>
      <c r="W153" s="316"/>
      <c r="X153" s="316"/>
      <c r="Y153" s="316"/>
      <c r="Z153" s="316"/>
      <c r="AA153" s="316"/>
      <c r="AB153" s="316"/>
      <c r="AC153" s="316"/>
      <c r="AD153" s="316"/>
      <c r="AE153" s="316"/>
    </row>
    <row r="154" spans="1:33" s="239" customFormat="1" ht="14.45" customHeight="1">
      <c r="A154" s="539"/>
      <c r="B154" s="264" t="s">
        <v>326</v>
      </c>
      <c r="C154" s="539"/>
      <c r="D154" s="312">
        <v>45768</v>
      </c>
      <c r="E154" s="305" t="s">
        <v>304</v>
      </c>
      <c r="F154" s="313"/>
      <c r="G154" s="314"/>
      <c r="H154" s="314"/>
      <c r="I154" s="312">
        <v>45768</v>
      </c>
      <c r="J154" s="305" t="s">
        <v>304</v>
      </c>
      <c r="K154" s="313"/>
      <c r="L154" s="314"/>
      <c r="M154" s="314"/>
      <c r="N154" s="312">
        <v>45768</v>
      </c>
      <c r="O154" s="305" t="s">
        <v>304</v>
      </c>
      <c r="P154" s="313"/>
      <c r="Q154" s="314"/>
      <c r="R154" s="314"/>
      <c r="S154" s="539"/>
      <c r="T154" s="291"/>
      <c r="U154" s="291"/>
      <c r="V154" s="316"/>
      <c r="W154" s="316"/>
      <c r="X154" s="316"/>
      <c r="Y154" s="316"/>
      <c r="Z154" s="316"/>
      <c r="AA154" s="316"/>
      <c r="AB154" s="316"/>
      <c r="AC154" s="316"/>
      <c r="AD154" s="316"/>
      <c r="AE154" s="316"/>
    </row>
    <row r="155" spans="1:33" s="239" customFormat="1" ht="14.45" customHeight="1">
      <c r="A155" s="539"/>
      <c r="B155" s="264" t="s">
        <v>348</v>
      </c>
      <c r="C155" s="539"/>
      <c r="D155" s="312">
        <v>45768</v>
      </c>
      <c r="E155" s="305" t="s">
        <v>304</v>
      </c>
      <c r="F155" s="313"/>
      <c r="G155" s="314"/>
      <c r="H155" s="314"/>
      <c r="I155" s="312">
        <v>45768</v>
      </c>
      <c r="J155" s="305" t="s">
        <v>304</v>
      </c>
      <c r="K155" s="313"/>
      <c r="L155" s="314"/>
      <c r="M155" s="314"/>
      <c r="N155" s="312">
        <v>45768</v>
      </c>
      <c r="O155" s="305" t="s">
        <v>304</v>
      </c>
      <c r="P155" s="313"/>
      <c r="Q155" s="314"/>
      <c r="R155" s="314"/>
      <c r="S155" s="539"/>
      <c r="T155" s="291"/>
      <c r="U155" s="291"/>
      <c r="V155" s="316"/>
      <c r="W155" s="316"/>
      <c r="X155" s="316"/>
      <c r="Y155" s="316"/>
      <c r="Z155" s="316"/>
      <c r="AA155" s="316"/>
      <c r="AB155" s="316"/>
      <c r="AC155" s="316"/>
      <c r="AD155" s="316"/>
      <c r="AE155" s="316"/>
    </row>
    <row r="156" spans="1:33" s="239" customFormat="1" ht="14.45" customHeight="1">
      <c r="A156" s="539"/>
      <c r="B156" s="264" t="s">
        <v>214</v>
      </c>
      <c r="C156" s="539"/>
      <c r="D156" s="312">
        <v>45768</v>
      </c>
      <c r="E156" s="305" t="s">
        <v>304</v>
      </c>
      <c r="F156" s="313"/>
      <c r="G156" s="314"/>
      <c r="H156" s="314"/>
      <c r="I156" s="312">
        <v>45768</v>
      </c>
      <c r="J156" s="305" t="s">
        <v>304</v>
      </c>
      <c r="K156" s="313"/>
      <c r="L156" s="314"/>
      <c r="M156" s="314"/>
      <c r="N156" s="312">
        <v>45768</v>
      </c>
      <c r="O156" s="305" t="s">
        <v>304</v>
      </c>
      <c r="P156" s="313"/>
      <c r="Q156" s="314"/>
      <c r="R156" s="314"/>
      <c r="S156" s="539"/>
      <c r="T156" s="291"/>
      <c r="U156" s="291"/>
      <c r="V156" s="316"/>
      <c r="W156" s="316"/>
      <c r="X156" s="316"/>
      <c r="Y156" s="316"/>
      <c r="Z156" s="316"/>
      <c r="AA156" s="316"/>
      <c r="AB156" s="316"/>
      <c r="AC156" s="316"/>
      <c r="AD156" s="316"/>
      <c r="AE156" s="316"/>
    </row>
    <row r="157" spans="1:33" s="239" customFormat="1" ht="14.45" customHeight="1">
      <c r="A157" s="539"/>
      <c r="B157" s="264" t="s">
        <v>214</v>
      </c>
      <c r="C157" s="539"/>
      <c r="D157" s="312">
        <v>45768</v>
      </c>
      <c r="E157" s="305" t="s">
        <v>304</v>
      </c>
      <c r="F157" s="313"/>
      <c r="G157" s="314"/>
      <c r="H157" s="314"/>
      <c r="I157" s="312">
        <v>45768</v>
      </c>
      <c r="J157" s="305" t="s">
        <v>304</v>
      </c>
      <c r="K157" s="313"/>
      <c r="L157" s="314"/>
      <c r="M157" s="314"/>
      <c r="N157" s="312">
        <v>45768</v>
      </c>
      <c r="O157" s="305" t="s">
        <v>304</v>
      </c>
      <c r="P157" s="313"/>
      <c r="Q157" s="314"/>
      <c r="R157" s="314"/>
      <c r="S157" s="539"/>
      <c r="T157" s="291"/>
      <c r="U157" s="291"/>
      <c r="V157" s="316"/>
      <c r="W157" s="316"/>
      <c r="X157" s="316"/>
      <c r="Y157" s="316"/>
      <c r="Z157" s="316"/>
      <c r="AA157" s="316"/>
      <c r="AB157" s="316"/>
      <c r="AC157" s="316"/>
      <c r="AD157" s="316"/>
      <c r="AE157" s="316"/>
    </row>
    <row r="158" spans="1:33" s="239" customFormat="1" ht="14.45" customHeight="1">
      <c r="A158" s="539"/>
      <c r="B158" s="264" t="s">
        <v>349</v>
      </c>
      <c r="C158" s="539"/>
      <c r="D158" s="312">
        <v>45768</v>
      </c>
      <c r="E158" s="305" t="s">
        <v>304</v>
      </c>
      <c r="F158" s="313"/>
      <c r="G158" s="314"/>
      <c r="H158" s="314"/>
      <c r="I158" s="312">
        <v>45768</v>
      </c>
      <c r="J158" s="305" t="s">
        <v>304</v>
      </c>
      <c r="K158" s="313"/>
      <c r="L158" s="314"/>
      <c r="M158" s="314"/>
      <c r="N158" s="312">
        <v>45768</v>
      </c>
      <c r="O158" s="305" t="s">
        <v>304</v>
      </c>
      <c r="P158" s="313"/>
      <c r="Q158" s="314"/>
      <c r="R158" s="314"/>
      <c r="S158" s="539"/>
      <c r="T158" s="291"/>
      <c r="U158" s="291"/>
      <c r="V158" s="316"/>
      <c r="W158" s="316"/>
      <c r="X158" s="316"/>
      <c r="Y158" s="316"/>
      <c r="Z158" s="316"/>
      <c r="AA158" s="316"/>
      <c r="AB158" s="316"/>
      <c r="AC158" s="316"/>
      <c r="AD158" s="316"/>
      <c r="AE158" s="316"/>
    </row>
    <row r="159" spans="1:33" s="239" customFormat="1" ht="14.45" customHeight="1">
      <c r="A159" s="539"/>
      <c r="B159" s="315" t="s">
        <v>350</v>
      </c>
      <c r="C159" s="539"/>
      <c r="D159" s="312">
        <v>45768</v>
      </c>
      <c r="E159" s="305" t="s">
        <v>304</v>
      </c>
      <c r="F159" s="313"/>
      <c r="G159" s="314"/>
      <c r="H159" s="314"/>
      <c r="I159" s="312">
        <v>45768</v>
      </c>
      <c r="J159" s="305" t="s">
        <v>304</v>
      </c>
      <c r="K159" s="313"/>
      <c r="L159" s="314"/>
      <c r="M159" s="314"/>
      <c r="N159" s="312">
        <v>45768</v>
      </c>
      <c r="O159" s="305" t="s">
        <v>304</v>
      </c>
      <c r="P159" s="313"/>
      <c r="Q159" s="314"/>
      <c r="R159" s="314"/>
      <c r="S159" s="539"/>
      <c r="T159" s="291"/>
      <c r="U159" s="291"/>
      <c r="V159" s="316"/>
      <c r="W159" s="316"/>
      <c r="X159" s="316"/>
      <c r="Y159" s="316"/>
      <c r="Z159" s="316"/>
      <c r="AA159" s="316"/>
      <c r="AB159" s="316"/>
      <c r="AC159" s="316"/>
      <c r="AD159" s="316"/>
      <c r="AE159" s="316"/>
      <c r="AF159" s="320"/>
    </row>
    <row r="160" spans="1:33" s="239" customFormat="1" ht="14.45" customHeight="1">
      <c r="A160" s="539"/>
      <c r="B160" s="264" t="s">
        <v>351</v>
      </c>
      <c r="C160" s="540"/>
      <c r="D160" s="312">
        <v>45768</v>
      </c>
      <c r="E160" s="305" t="s">
        <v>304</v>
      </c>
      <c r="F160" s="313"/>
      <c r="G160" s="314"/>
      <c r="H160" s="314"/>
      <c r="I160" s="312">
        <v>45768</v>
      </c>
      <c r="J160" s="305" t="s">
        <v>304</v>
      </c>
      <c r="K160" s="313"/>
      <c r="L160" s="314"/>
      <c r="M160" s="314"/>
      <c r="N160" s="312">
        <v>45768</v>
      </c>
      <c r="O160" s="305" t="s">
        <v>304</v>
      </c>
      <c r="P160" s="313"/>
      <c r="Q160" s="314"/>
      <c r="R160" s="314"/>
      <c r="S160" s="539"/>
      <c r="T160" s="291"/>
      <c r="U160" s="291"/>
      <c r="V160" s="316"/>
      <c r="W160" s="316"/>
      <c r="X160" s="316"/>
      <c r="Y160" s="316"/>
      <c r="Z160" s="316"/>
      <c r="AA160" s="316"/>
      <c r="AB160" s="316"/>
      <c r="AC160" s="316"/>
      <c r="AD160" s="316"/>
      <c r="AE160" s="316"/>
      <c r="AF160" s="320"/>
    </row>
    <row r="161" spans="1:32" s="239" customFormat="1" ht="14.45" customHeight="1">
      <c r="A161" s="539"/>
      <c r="B161" s="264" t="s">
        <v>352</v>
      </c>
      <c r="C161" s="538" t="s">
        <v>72</v>
      </c>
      <c r="D161" s="312">
        <v>45768</v>
      </c>
      <c r="E161" s="305" t="s">
        <v>304</v>
      </c>
      <c r="F161" s="313"/>
      <c r="G161" s="314"/>
      <c r="H161" s="314"/>
      <c r="I161" s="312">
        <v>45768</v>
      </c>
      <c r="J161" s="305" t="s">
        <v>304</v>
      </c>
      <c r="K161" s="313"/>
      <c r="L161" s="314"/>
      <c r="M161" s="314"/>
      <c r="N161" s="312">
        <v>45768</v>
      </c>
      <c r="O161" s="305" t="s">
        <v>304</v>
      </c>
      <c r="P161" s="313"/>
      <c r="Q161" s="314"/>
      <c r="R161" s="314"/>
      <c r="S161" s="539"/>
      <c r="T161" s="269"/>
      <c r="U161" s="269"/>
      <c r="V161" s="269"/>
      <c r="W161" s="269"/>
      <c r="X161" s="269"/>
      <c r="Y161" s="269"/>
      <c r="Z161" s="269"/>
      <c r="AA161" s="269"/>
      <c r="AB161" s="269"/>
      <c r="AC161" s="269"/>
      <c r="AD161" s="269"/>
      <c r="AE161" s="269"/>
      <c r="AF161" s="320"/>
    </row>
    <row r="162" spans="1:32" s="239" customFormat="1" ht="14.45" customHeight="1">
      <c r="A162" s="540"/>
      <c r="B162" s="264" t="s">
        <v>353</v>
      </c>
      <c r="C162" s="539"/>
      <c r="D162" s="312">
        <v>45768</v>
      </c>
      <c r="E162" s="305" t="s">
        <v>304</v>
      </c>
      <c r="F162" s="313"/>
      <c r="G162" s="314"/>
      <c r="H162" s="314"/>
      <c r="I162" s="312">
        <v>45768</v>
      </c>
      <c r="J162" s="305" t="s">
        <v>304</v>
      </c>
      <c r="K162" s="313"/>
      <c r="L162" s="314"/>
      <c r="M162" s="314"/>
      <c r="N162" s="312">
        <v>45768</v>
      </c>
      <c r="O162" s="305" t="s">
        <v>304</v>
      </c>
      <c r="P162" s="313"/>
      <c r="Q162" s="314"/>
      <c r="R162" s="314"/>
      <c r="S162" s="540"/>
      <c r="T162" s="269"/>
      <c r="U162" s="269"/>
      <c r="V162" s="269"/>
      <c r="W162" s="269"/>
      <c r="X162" s="269"/>
      <c r="Y162" s="269"/>
      <c r="Z162" s="269"/>
      <c r="AA162" s="269"/>
      <c r="AB162" s="269"/>
      <c r="AC162" s="269"/>
      <c r="AD162" s="269"/>
      <c r="AE162" s="269"/>
      <c r="AF162" s="319"/>
    </row>
    <row r="163" spans="1:32" s="239" customFormat="1" ht="14.45" customHeight="1">
      <c r="A163" s="538" t="s">
        <v>354</v>
      </c>
      <c r="B163" s="264" t="s">
        <v>355</v>
      </c>
      <c r="C163" s="539"/>
      <c r="D163" s="312">
        <v>45768</v>
      </c>
      <c r="E163" s="305" t="s">
        <v>304</v>
      </c>
      <c r="F163" s="313"/>
      <c r="G163" s="314"/>
      <c r="H163" s="314"/>
      <c r="I163" s="312">
        <v>45768</v>
      </c>
      <c r="J163" s="305" t="s">
        <v>304</v>
      </c>
      <c r="K163" s="313"/>
      <c r="L163" s="314"/>
      <c r="M163" s="314"/>
      <c r="N163" s="312">
        <v>45768</v>
      </c>
      <c r="O163" s="305" t="s">
        <v>304</v>
      </c>
      <c r="P163" s="313"/>
      <c r="Q163" s="314"/>
      <c r="R163" s="314"/>
      <c r="S163" s="538" t="s">
        <v>356</v>
      </c>
      <c r="T163" s="269"/>
      <c r="U163" s="269"/>
      <c r="V163" s="269"/>
      <c r="W163" s="269"/>
      <c r="X163" s="269"/>
      <c r="Y163" s="269"/>
      <c r="Z163" s="269"/>
      <c r="AA163" s="269"/>
      <c r="AB163" s="269"/>
      <c r="AC163" s="269"/>
      <c r="AD163" s="269"/>
      <c r="AE163" s="269"/>
      <c r="AF163" s="319"/>
    </row>
    <row r="164" spans="1:32" s="239" customFormat="1" ht="14.45" customHeight="1">
      <c r="A164" s="539"/>
      <c r="B164" s="315" t="s">
        <v>357</v>
      </c>
      <c r="C164" s="539"/>
      <c r="D164" s="312">
        <v>45768</v>
      </c>
      <c r="E164" s="305" t="s">
        <v>304</v>
      </c>
      <c r="F164" s="313"/>
      <c r="G164" s="314"/>
      <c r="H164" s="314"/>
      <c r="I164" s="312">
        <v>45768</v>
      </c>
      <c r="J164" s="305" t="s">
        <v>304</v>
      </c>
      <c r="K164" s="313"/>
      <c r="L164" s="314"/>
      <c r="M164" s="314"/>
      <c r="N164" s="312">
        <v>45768</v>
      </c>
      <c r="O164" s="305" t="s">
        <v>304</v>
      </c>
      <c r="P164" s="313"/>
      <c r="Q164" s="314"/>
      <c r="R164" s="314"/>
      <c r="S164" s="539"/>
      <c r="T164" s="269"/>
      <c r="U164" s="269"/>
      <c r="V164" s="269"/>
      <c r="W164" s="269"/>
      <c r="X164" s="269"/>
      <c r="Y164" s="269"/>
      <c r="Z164" s="269"/>
      <c r="AA164" s="269"/>
      <c r="AB164" s="269"/>
      <c r="AC164" s="269"/>
      <c r="AD164" s="269"/>
      <c r="AE164" s="269"/>
      <c r="AF164" s="319"/>
    </row>
    <row r="165" spans="1:32" s="239" customFormat="1" ht="14.45" customHeight="1">
      <c r="A165" s="539"/>
      <c r="B165" s="264" t="s">
        <v>358</v>
      </c>
      <c r="C165" s="539"/>
      <c r="D165" s="312">
        <v>45768</v>
      </c>
      <c r="E165" s="305" t="s">
        <v>304</v>
      </c>
      <c r="F165" s="313"/>
      <c r="G165" s="314"/>
      <c r="H165" s="314"/>
      <c r="I165" s="312">
        <v>45768</v>
      </c>
      <c r="J165" s="305" t="s">
        <v>304</v>
      </c>
      <c r="K165" s="313"/>
      <c r="L165" s="314"/>
      <c r="M165" s="314"/>
      <c r="N165" s="312">
        <v>45768</v>
      </c>
      <c r="O165" s="305" t="s">
        <v>304</v>
      </c>
      <c r="P165" s="313"/>
      <c r="Q165" s="314"/>
      <c r="R165" s="314"/>
      <c r="S165" s="539"/>
      <c r="T165" s="269"/>
      <c r="U165" s="269"/>
      <c r="V165" s="269"/>
      <c r="W165" s="269"/>
      <c r="X165" s="269"/>
      <c r="Y165" s="269"/>
      <c r="Z165" s="269"/>
      <c r="AA165" s="269"/>
      <c r="AB165" s="269"/>
      <c r="AC165" s="269"/>
      <c r="AD165" s="269"/>
      <c r="AE165" s="269"/>
      <c r="AF165" s="319"/>
    </row>
    <row r="166" spans="1:32" s="239" customFormat="1" ht="14.45" customHeight="1">
      <c r="A166" s="539"/>
      <c r="B166" s="264" t="s">
        <v>359</v>
      </c>
      <c r="C166" s="539"/>
      <c r="D166" s="312">
        <v>45768</v>
      </c>
      <c r="E166" s="305" t="s">
        <v>304</v>
      </c>
      <c r="F166" s="313"/>
      <c r="G166" s="314"/>
      <c r="H166" s="314"/>
      <c r="I166" s="312">
        <v>45768</v>
      </c>
      <c r="J166" s="305" t="s">
        <v>304</v>
      </c>
      <c r="K166" s="313"/>
      <c r="L166" s="314"/>
      <c r="M166" s="314"/>
      <c r="N166" s="312">
        <v>45768</v>
      </c>
      <c r="O166" s="305" t="s">
        <v>304</v>
      </c>
      <c r="P166" s="313"/>
      <c r="Q166" s="314"/>
      <c r="R166" s="314"/>
      <c r="S166" s="539"/>
      <c r="T166" s="269"/>
      <c r="U166" s="269"/>
      <c r="V166" s="269"/>
      <c r="W166" s="269"/>
      <c r="X166" s="269"/>
      <c r="Y166" s="269"/>
      <c r="Z166" s="269"/>
      <c r="AA166" s="269"/>
      <c r="AB166" s="269"/>
      <c r="AC166" s="269"/>
      <c r="AD166" s="269"/>
      <c r="AE166" s="269"/>
      <c r="AF166" s="320"/>
    </row>
    <row r="167" spans="1:32" s="239" customFormat="1" ht="14.45" customHeight="1">
      <c r="A167" s="539"/>
      <c r="B167" s="264" t="s">
        <v>359</v>
      </c>
      <c r="C167" s="539"/>
      <c r="D167" s="312">
        <v>45768</v>
      </c>
      <c r="E167" s="305" t="s">
        <v>304</v>
      </c>
      <c r="F167" s="313"/>
      <c r="G167" s="314"/>
      <c r="H167" s="314"/>
      <c r="I167" s="312">
        <v>45768</v>
      </c>
      <c r="J167" s="305" t="s">
        <v>304</v>
      </c>
      <c r="K167" s="313"/>
      <c r="L167" s="314"/>
      <c r="M167" s="314"/>
      <c r="N167" s="312">
        <v>45768</v>
      </c>
      <c r="O167" s="305" t="s">
        <v>304</v>
      </c>
      <c r="P167" s="313"/>
      <c r="Q167" s="314"/>
      <c r="R167" s="314"/>
      <c r="S167" s="539"/>
      <c r="T167" s="269"/>
      <c r="U167" s="269"/>
      <c r="V167" s="269"/>
      <c r="W167" s="269"/>
      <c r="X167" s="269"/>
      <c r="Y167" s="269"/>
      <c r="Z167" s="269"/>
      <c r="AA167" s="269"/>
      <c r="AB167" s="269"/>
      <c r="AC167" s="269"/>
      <c r="AD167" s="269"/>
      <c r="AE167" s="269"/>
      <c r="AF167" s="320"/>
    </row>
    <row r="168" spans="1:32" s="239" customFormat="1" ht="14.45" customHeight="1">
      <c r="A168" s="540"/>
      <c r="B168" s="264" t="s">
        <v>360</v>
      </c>
      <c r="C168" s="539"/>
      <c r="D168" s="312">
        <v>45768</v>
      </c>
      <c r="E168" s="305" t="s">
        <v>304</v>
      </c>
      <c r="F168" s="313"/>
      <c r="G168" s="314"/>
      <c r="H168" s="314"/>
      <c r="I168" s="312">
        <v>45768</v>
      </c>
      <c r="J168" s="305" t="s">
        <v>304</v>
      </c>
      <c r="K168" s="313"/>
      <c r="L168" s="314"/>
      <c r="M168" s="314"/>
      <c r="N168" s="312">
        <v>45768</v>
      </c>
      <c r="O168" s="305" t="s">
        <v>304</v>
      </c>
      <c r="P168" s="313"/>
      <c r="Q168" s="314"/>
      <c r="R168" s="314"/>
      <c r="S168" s="540"/>
      <c r="T168" s="269"/>
      <c r="U168" s="269"/>
      <c r="V168" s="269"/>
      <c r="W168" s="269"/>
      <c r="X168" s="269"/>
      <c r="Y168" s="269"/>
      <c r="Z168" s="269"/>
      <c r="AA168" s="269"/>
      <c r="AB168" s="269"/>
      <c r="AC168" s="269"/>
      <c r="AD168" s="269"/>
      <c r="AE168" s="269"/>
      <c r="AF168" s="319"/>
    </row>
    <row r="169" spans="1:32" s="239" customFormat="1" ht="14.45" customHeight="1">
      <c r="A169" s="538" t="s">
        <v>361</v>
      </c>
      <c r="B169" s="264" t="s">
        <v>263</v>
      </c>
      <c r="C169" s="540"/>
      <c r="D169" s="312">
        <v>45768</v>
      </c>
      <c r="E169" s="305" t="s">
        <v>304</v>
      </c>
      <c r="F169" s="313"/>
      <c r="G169" s="314"/>
      <c r="H169" s="314"/>
      <c r="I169" s="312">
        <v>45768</v>
      </c>
      <c r="J169" s="305" t="s">
        <v>304</v>
      </c>
      <c r="K169" s="313"/>
      <c r="L169" s="314"/>
      <c r="M169" s="314"/>
      <c r="N169" s="312">
        <v>45768</v>
      </c>
      <c r="O169" s="305" t="s">
        <v>304</v>
      </c>
      <c r="P169" s="313"/>
      <c r="Q169" s="314"/>
      <c r="R169" s="314"/>
      <c r="S169" s="538" t="s">
        <v>362</v>
      </c>
      <c r="T169" s="269"/>
      <c r="U169" s="269"/>
      <c r="V169" s="269"/>
      <c r="W169" s="269"/>
      <c r="X169" s="269"/>
      <c r="Y169" s="269"/>
      <c r="Z169" s="269"/>
      <c r="AA169" s="269"/>
      <c r="AB169" s="269"/>
      <c r="AC169" s="269"/>
      <c r="AD169" s="269"/>
      <c r="AE169" s="269"/>
    </row>
    <row r="170" spans="1:32" s="239" customFormat="1" ht="14.45" customHeight="1">
      <c r="A170" s="539"/>
      <c r="B170" s="315" t="s">
        <v>315</v>
      </c>
      <c r="C170" s="538" t="s">
        <v>72</v>
      </c>
      <c r="D170" s="312">
        <v>45768</v>
      </c>
      <c r="E170" s="305" t="s">
        <v>304</v>
      </c>
      <c r="F170" s="313"/>
      <c r="G170" s="314"/>
      <c r="H170" s="314"/>
      <c r="I170" s="312">
        <v>45768</v>
      </c>
      <c r="J170" s="305" t="s">
        <v>304</v>
      </c>
      <c r="K170" s="313"/>
      <c r="L170" s="314"/>
      <c r="M170" s="314"/>
      <c r="N170" s="312">
        <v>45768</v>
      </c>
      <c r="O170" s="305" t="s">
        <v>304</v>
      </c>
      <c r="P170" s="313"/>
      <c r="Q170" s="314"/>
      <c r="R170" s="314"/>
      <c r="S170" s="539"/>
      <c r="T170" s="269"/>
      <c r="U170" s="269"/>
      <c r="V170" s="269"/>
      <c r="W170" s="269"/>
      <c r="X170" s="269"/>
      <c r="Y170" s="269"/>
      <c r="Z170" s="269"/>
      <c r="AA170" s="269"/>
      <c r="AB170" s="269"/>
      <c r="AC170" s="269"/>
      <c r="AD170" s="269"/>
      <c r="AE170" s="269"/>
    </row>
    <row r="171" spans="1:32" s="239" customFormat="1" ht="14.45" customHeight="1">
      <c r="A171" s="539"/>
      <c r="B171" s="264" t="s">
        <v>316</v>
      </c>
      <c r="C171" s="539"/>
      <c r="D171" s="312">
        <v>45768</v>
      </c>
      <c r="E171" s="305" t="s">
        <v>304</v>
      </c>
      <c r="F171" s="313"/>
      <c r="G171" s="314"/>
      <c r="H171" s="314"/>
      <c r="I171" s="312">
        <v>45768</v>
      </c>
      <c r="J171" s="305" t="s">
        <v>304</v>
      </c>
      <c r="K171" s="313"/>
      <c r="L171" s="314"/>
      <c r="M171" s="314"/>
      <c r="N171" s="312">
        <v>45768</v>
      </c>
      <c r="O171" s="305" t="s">
        <v>304</v>
      </c>
      <c r="P171" s="313"/>
      <c r="Q171" s="314"/>
      <c r="R171" s="314"/>
      <c r="S171" s="539"/>
      <c r="T171" s="269"/>
      <c r="U171" s="269"/>
      <c r="V171" s="269"/>
      <c r="W171" s="269"/>
      <c r="X171" s="269"/>
      <c r="Y171" s="269"/>
      <c r="Z171" s="269"/>
      <c r="AA171" s="269"/>
      <c r="AB171" s="269"/>
      <c r="AC171" s="269"/>
      <c r="AD171" s="269"/>
      <c r="AE171" s="269"/>
    </row>
    <row r="172" spans="1:32" s="239" customFormat="1" ht="14.45" customHeight="1">
      <c r="A172" s="539"/>
      <c r="B172" s="264" t="s">
        <v>317</v>
      </c>
      <c r="C172" s="539"/>
      <c r="D172" s="312">
        <v>45768</v>
      </c>
      <c r="E172" s="305" t="s">
        <v>304</v>
      </c>
      <c r="F172" s="313"/>
      <c r="G172" s="314"/>
      <c r="H172" s="314"/>
      <c r="I172" s="312">
        <v>45768</v>
      </c>
      <c r="J172" s="305" t="s">
        <v>304</v>
      </c>
      <c r="K172" s="313"/>
      <c r="L172" s="314"/>
      <c r="M172" s="314"/>
      <c r="N172" s="312">
        <v>45768</v>
      </c>
      <c r="O172" s="305" t="s">
        <v>304</v>
      </c>
      <c r="P172" s="313"/>
      <c r="Q172" s="314"/>
      <c r="R172" s="314"/>
      <c r="S172" s="539"/>
      <c r="T172" s="269"/>
      <c r="U172" s="269"/>
      <c r="V172" s="269"/>
      <c r="W172" s="269"/>
      <c r="X172" s="269"/>
      <c r="Y172" s="269"/>
      <c r="Z172" s="269"/>
      <c r="AA172" s="269"/>
      <c r="AB172" s="269"/>
      <c r="AC172" s="269"/>
      <c r="AD172" s="269"/>
      <c r="AE172" s="269"/>
    </row>
    <row r="173" spans="1:32" s="239" customFormat="1" ht="14.45" customHeight="1">
      <c r="A173" s="539"/>
      <c r="B173" s="264" t="s">
        <v>318</v>
      </c>
      <c r="C173" s="539"/>
      <c r="D173" s="312">
        <v>45768</v>
      </c>
      <c r="E173" s="305" t="s">
        <v>304</v>
      </c>
      <c r="F173" s="313"/>
      <c r="G173" s="314"/>
      <c r="H173" s="314"/>
      <c r="I173" s="312">
        <v>45768</v>
      </c>
      <c r="J173" s="305" t="s">
        <v>304</v>
      </c>
      <c r="K173" s="313"/>
      <c r="L173" s="314"/>
      <c r="M173" s="314"/>
      <c r="N173" s="312">
        <v>45768</v>
      </c>
      <c r="O173" s="305" t="s">
        <v>304</v>
      </c>
      <c r="P173" s="313"/>
      <c r="Q173" s="314"/>
      <c r="R173" s="314"/>
      <c r="S173" s="539"/>
      <c r="T173" s="269"/>
      <c r="U173" s="269"/>
      <c r="V173" s="269"/>
      <c r="W173" s="269"/>
      <c r="X173" s="269"/>
      <c r="Y173" s="269"/>
      <c r="Z173" s="269"/>
      <c r="AA173" s="269"/>
      <c r="AB173" s="269"/>
      <c r="AC173" s="269"/>
      <c r="AD173" s="269"/>
      <c r="AE173" s="269"/>
    </row>
    <row r="174" spans="1:32" s="239" customFormat="1" ht="14.45" customHeight="1">
      <c r="A174" s="539"/>
      <c r="B174" s="264" t="s">
        <v>319</v>
      </c>
      <c r="C174" s="539"/>
      <c r="D174" s="312">
        <v>45768</v>
      </c>
      <c r="E174" s="305" t="s">
        <v>304</v>
      </c>
      <c r="F174" s="313"/>
      <c r="G174" s="314"/>
      <c r="H174" s="314"/>
      <c r="I174" s="312">
        <v>45768</v>
      </c>
      <c r="J174" s="305" t="s">
        <v>304</v>
      </c>
      <c r="K174" s="313"/>
      <c r="L174" s="314"/>
      <c r="M174" s="314"/>
      <c r="N174" s="312">
        <v>45768</v>
      </c>
      <c r="O174" s="305" t="s">
        <v>304</v>
      </c>
      <c r="P174" s="313"/>
      <c r="Q174" s="314"/>
      <c r="R174" s="314"/>
      <c r="S174" s="539"/>
      <c r="T174" s="269"/>
      <c r="U174" s="269"/>
      <c r="V174" s="269"/>
      <c r="W174" s="269"/>
      <c r="X174" s="269"/>
      <c r="Y174" s="269"/>
      <c r="Z174" s="269"/>
      <c r="AA174" s="269"/>
      <c r="AB174" s="269"/>
      <c r="AC174" s="269"/>
      <c r="AD174" s="269"/>
      <c r="AE174" s="269"/>
    </row>
    <row r="175" spans="1:32" s="239" customFormat="1" ht="14.45" customHeight="1">
      <c r="A175" s="539"/>
      <c r="B175" s="315" t="s">
        <v>363</v>
      </c>
      <c r="C175" s="539"/>
      <c r="D175" s="312">
        <v>45768</v>
      </c>
      <c r="E175" s="305" t="s">
        <v>304</v>
      </c>
      <c r="F175" s="313"/>
      <c r="G175" s="314"/>
      <c r="H175" s="314"/>
      <c r="I175" s="312">
        <v>45768</v>
      </c>
      <c r="J175" s="305" t="s">
        <v>304</v>
      </c>
      <c r="K175" s="313"/>
      <c r="L175" s="314"/>
      <c r="M175" s="314"/>
      <c r="N175" s="312">
        <v>45768</v>
      </c>
      <c r="O175" s="305" t="s">
        <v>304</v>
      </c>
      <c r="P175" s="313"/>
      <c r="Q175" s="314"/>
      <c r="R175" s="314"/>
      <c r="S175" s="539"/>
      <c r="T175" s="269"/>
      <c r="U175" s="269"/>
      <c r="V175" s="269"/>
      <c r="W175" s="269"/>
      <c r="X175" s="269"/>
      <c r="Y175" s="269"/>
      <c r="Z175" s="269"/>
      <c r="AA175" s="269"/>
      <c r="AB175" s="269"/>
      <c r="AC175" s="269"/>
      <c r="AD175" s="269"/>
      <c r="AE175" s="269"/>
      <c r="AF175" s="319"/>
    </row>
    <row r="176" spans="1:32" s="239" customFormat="1" ht="14.45" customHeight="1">
      <c r="A176" s="539"/>
      <c r="B176" s="264" t="s">
        <v>294</v>
      </c>
      <c r="C176" s="539"/>
      <c r="D176" s="312">
        <v>45768</v>
      </c>
      <c r="E176" s="305" t="s">
        <v>304</v>
      </c>
      <c r="F176" s="313"/>
      <c r="G176" s="314"/>
      <c r="H176" s="314"/>
      <c r="I176" s="312">
        <v>45768</v>
      </c>
      <c r="J176" s="305" t="s">
        <v>304</v>
      </c>
      <c r="K176" s="313"/>
      <c r="L176" s="314"/>
      <c r="M176" s="314"/>
      <c r="N176" s="312">
        <v>45768</v>
      </c>
      <c r="O176" s="305" t="s">
        <v>304</v>
      </c>
      <c r="P176" s="313"/>
      <c r="Q176" s="314"/>
      <c r="R176" s="314"/>
      <c r="S176" s="539"/>
      <c r="T176" s="269"/>
      <c r="U176" s="269"/>
      <c r="V176" s="269"/>
      <c r="W176" s="269"/>
      <c r="X176" s="269"/>
      <c r="Y176" s="269"/>
      <c r="Z176" s="269"/>
      <c r="AA176" s="269"/>
      <c r="AB176" s="269"/>
      <c r="AC176" s="269"/>
      <c r="AD176" s="269"/>
      <c r="AE176" s="269"/>
      <c r="AF176" s="319"/>
    </row>
    <row r="177" spans="1:32" s="239" customFormat="1" ht="14.45" customHeight="1">
      <c r="A177" s="539"/>
      <c r="B177" s="264" t="s">
        <v>364</v>
      </c>
      <c r="C177" s="539"/>
      <c r="D177" s="312">
        <v>45768</v>
      </c>
      <c r="E177" s="305" t="s">
        <v>304</v>
      </c>
      <c r="F177" s="313"/>
      <c r="G177" s="314"/>
      <c r="H177" s="314"/>
      <c r="I177" s="312">
        <v>45768</v>
      </c>
      <c r="J177" s="305" t="s">
        <v>304</v>
      </c>
      <c r="K177" s="313"/>
      <c r="L177" s="314"/>
      <c r="M177" s="314"/>
      <c r="N177" s="312">
        <v>45768</v>
      </c>
      <c r="O177" s="305" t="s">
        <v>304</v>
      </c>
      <c r="P177" s="313"/>
      <c r="Q177" s="314"/>
      <c r="R177" s="314"/>
      <c r="S177" s="539"/>
      <c r="T177" s="269"/>
      <c r="U177" s="269"/>
      <c r="V177" s="269"/>
      <c r="W177" s="269"/>
      <c r="X177" s="269"/>
      <c r="Y177" s="269"/>
      <c r="Z177" s="269"/>
      <c r="AA177" s="269"/>
      <c r="AB177" s="269"/>
      <c r="AC177" s="269"/>
      <c r="AD177" s="269"/>
      <c r="AE177" s="269"/>
      <c r="AF177" s="10"/>
    </row>
    <row r="178" spans="1:32" s="239" customFormat="1" ht="14.45" customHeight="1">
      <c r="A178" s="540"/>
      <c r="B178" s="264" t="s">
        <v>365</v>
      </c>
      <c r="C178" s="540"/>
      <c r="D178" s="312">
        <v>45768</v>
      </c>
      <c r="E178" s="305" t="s">
        <v>304</v>
      </c>
      <c r="F178" s="313"/>
      <c r="G178" s="314"/>
      <c r="H178" s="314"/>
      <c r="I178" s="312">
        <v>45768</v>
      </c>
      <c r="J178" s="305" t="s">
        <v>304</v>
      </c>
      <c r="K178" s="313"/>
      <c r="L178" s="314"/>
      <c r="M178" s="314"/>
      <c r="N178" s="312">
        <v>45768</v>
      </c>
      <c r="O178" s="305" t="s">
        <v>304</v>
      </c>
      <c r="P178" s="313"/>
      <c r="Q178" s="314"/>
      <c r="R178" s="314"/>
      <c r="S178" s="540"/>
      <c r="T178" s="269"/>
      <c r="U178" s="269"/>
      <c r="V178" s="269"/>
      <c r="W178" s="269"/>
      <c r="X178" s="269"/>
      <c r="Y178" s="269"/>
      <c r="Z178" s="269"/>
      <c r="AA178" s="269"/>
      <c r="AB178" s="269"/>
      <c r="AC178" s="269"/>
      <c r="AD178" s="269"/>
      <c r="AE178" s="269"/>
      <c r="AF178" s="11"/>
    </row>
  </sheetData>
  <mergeCells count="102">
    <mergeCell ref="S117:S124"/>
    <mergeCell ref="S169:S178"/>
    <mergeCell ref="A125:A139"/>
    <mergeCell ref="S125:S139"/>
    <mergeCell ref="A169:A178"/>
    <mergeCell ref="A163:A168"/>
    <mergeCell ref="A152:A162"/>
    <mergeCell ref="A140:A151"/>
    <mergeCell ref="C125:C133"/>
    <mergeCell ref="C134:C142"/>
    <mergeCell ref="C143:C151"/>
    <mergeCell ref="C152:C160"/>
    <mergeCell ref="C161:C169"/>
    <mergeCell ref="C170:C178"/>
    <mergeCell ref="S140:S151"/>
    <mergeCell ref="S152:S162"/>
    <mergeCell ref="S163:S168"/>
    <mergeCell ref="A117:A124"/>
    <mergeCell ref="G42:G49"/>
    <mergeCell ref="H42:H49"/>
    <mergeCell ref="K42:K49"/>
    <mergeCell ref="F82:F88"/>
    <mergeCell ref="G82:G88"/>
    <mergeCell ref="H82:H88"/>
    <mergeCell ref="K82:K88"/>
    <mergeCell ref="S98:S106"/>
    <mergeCell ref="S107:S116"/>
    <mergeCell ref="L82:L88"/>
    <mergeCell ref="M82:M88"/>
    <mergeCell ref="Q82:Q88"/>
    <mergeCell ref="L89:L96"/>
    <mergeCell ref="M89:M96"/>
    <mergeCell ref="Q89:Q96"/>
    <mergeCell ref="K50:K67"/>
    <mergeCell ref="A107:A116"/>
    <mergeCell ref="C98:C106"/>
    <mergeCell ref="C107:C115"/>
    <mergeCell ref="C116:C124"/>
    <mergeCell ref="A98:A106"/>
    <mergeCell ref="A42:A49"/>
    <mergeCell ref="E42:E49"/>
    <mergeCell ref="F42:F49"/>
    <mergeCell ref="A24:A41"/>
    <mergeCell ref="E24:E41"/>
    <mergeCell ref="F24:F41"/>
    <mergeCell ref="E68:E81"/>
    <mergeCell ref="E82:E88"/>
    <mergeCell ref="G24:G41"/>
    <mergeCell ref="K24:K41"/>
    <mergeCell ref="A3:A23"/>
    <mergeCell ref="E3:E23"/>
    <mergeCell ref="F3:F23"/>
    <mergeCell ref="G3:G23"/>
    <mergeCell ref="K3:K23"/>
    <mergeCell ref="A89:A96"/>
    <mergeCell ref="F89:F96"/>
    <mergeCell ref="G89:G96"/>
    <mergeCell ref="H89:H96"/>
    <mergeCell ref="K89:K96"/>
    <mergeCell ref="E89:E96"/>
    <mergeCell ref="A50:A67"/>
    <mergeCell ref="E50:E67"/>
    <mergeCell ref="F50:F67"/>
    <mergeCell ref="G50:G67"/>
    <mergeCell ref="H50:H67"/>
    <mergeCell ref="A68:A81"/>
    <mergeCell ref="F68:F81"/>
    <mergeCell ref="G68:G81"/>
    <mergeCell ref="H68:H81"/>
    <mergeCell ref="K68:K81"/>
    <mergeCell ref="A82:A88"/>
    <mergeCell ref="L3:L23"/>
    <mergeCell ref="M3:M23"/>
    <mergeCell ref="L68:L81"/>
    <mergeCell ref="M68:M81"/>
    <mergeCell ref="L42:L49"/>
    <mergeCell ref="M42:M49"/>
    <mergeCell ref="Q42:Q49"/>
    <mergeCell ref="R42:R49"/>
    <mergeCell ref="L50:L67"/>
    <mergeCell ref="M50:M67"/>
    <mergeCell ref="Q50:Q67"/>
    <mergeCell ref="L24:L41"/>
    <mergeCell ref="M24:M41"/>
    <mergeCell ref="Q24:Q41"/>
    <mergeCell ref="AF1:AG1"/>
    <mergeCell ref="N3:N23"/>
    <mergeCell ref="N24:N41"/>
    <mergeCell ref="N42:N49"/>
    <mergeCell ref="N50:N67"/>
    <mergeCell ref="N68:N81"/>
    <mergeCell ref="N82:N88"/>
    <mergeCell ref="N89:N96"/>
    <mergeCell ref="S24:S41"/>
    <mergeCell ref="S42:S49"/>
    <mergeCell ref="Q3:Q23"/>
    <mergeCell ref="R3:R23"/>
    <mergeCell ref="S3:S23"/>
    <mergeCell ref="X1:AA1"/>
    <mergeCell ref="Q68:Q81"/>
    <mergeCell ref="R24:R41"/>
    <mergeCell ref="AB1:AE1"/>
  </mergeCells>
  <hyperlinks>
    <hyperlink ref="S152" r:id="rId1" location="/test-case/451467/8" display="https://qmetry.nee.com/#/test-case/451467/8" xr:uid="{6060353D-92D9-4F3A-9F8A-FD9B21B8EF15}"/>
    <hyperlink ref="Q3:Q23" r:id="rId2" display="https://confluence.nexteraenergy.com/x/S0buJQ" xr:uid="{F64242AF-4097-49B6-B30E-877D7BDA92E7}"/>
    <hyperlink ref="Q24:Q41" r:id="rId3" display="https://confluence.nexteraenergy.com/x/S0buJQ" xr:uid="{AAFC0AFD-00BA-4FBD-B453-C295EE275432}"/>
    <hyperlink ref="Q42:Q49" r:id="rId4" display="https://confluence.nexteraenergy.com/x/S0buJQ" xr:uid="{6960030D-0ECF-4D2A-BAC5-00FB94D56A43}"/>
    <hyperlink ref="Q50:Q67" r:id="rId5" display="https://confluence.nexteraenergy.com/x/S0buJQ" xr:uid="{5388ADDC-5BD6-4A26-A106-40C673E67E88}"/>
    <hyperlink ref="Q68:Q81" r:id="rId6" display="https://confluence.nexteraenergy.com/x/S0buJQ" xr:uid="{020B0C92-F36A-41C1-AF9B-6CF01DF93DEE}"/>
    <hyperlink ref="Q82:Q88" r:id="rId7" display="https://confluence.nexteraenergy.com/x/S0buJQ" xr:uid="{ED9DF2B3-F0BA-44A2-815D-10361E287144}"/>
    <hyperlink ref="Q89:Q96" r:id="rId8" display="https://confluence.nexteraenergy.com/x/S0buJQ" xr:uid="{AE42E10C-FAA1-4B38-9026-06C6A6561125}"/>
    <hyperlink ref="K3:K23" r:id="rId9" display="https://confluence.nexteraenergy.com/x/S0buJQ" xr:uid="{100C364C-2D02-4348-986F-7D4BB1822093}"/>
    <hyperlink ref="K24:K41" r:id="rId10" display="https://confluence.nexteraenergy.com/x/S0buJQ" xr:uid="{883DAFEA-344B-40BA-9763-C7D66BFAEBD2}"/>
    <hyperlink ref="K42:K49" r:id="rId11" display="https://confluence.nexteraenergy.com/x/S0buJQ" xr:uid="{245C0F61-A3C3-4933-B15B-234B4ACB62A1}"/>
    <hyperlink ref="K50:K67" r:id="rId12" display="https://confluence.nexteraenergy.com/x/S0buJQ" xr:uid="{78694F0E-D0EC-4AD1-89E3-1F59F5255262}"/>
    <hyperlink ref="K68:K81" r:id="rId13" display="https://confluence.nexteraenergy.com/x/S0buJQ" xr:uid="{E1CC68D6-2A31-4257-92F6-E672837280E2}"/>
    <hyperlink ref="K82:K88" r:id="rId14" display="https://confluence.nexteraenergy.com/x/S0buJQ" xr:uid="{95F97EB4-297B-4A08-960B-B12B64C807F5}"/>
    <hyperlink ref="K89:K96" r:id="rId15" display="https://confluence.nexteraenergy.com/x/S0buJQ" xr:uid="{D40A671D-F70E-4A98-9786-B59A7CA0131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33E0CBA-F78B-416E-BDD2-10B46DB76B56}">
          <x14:formula1>
            <xm:f>'Execution Status'!$A$1:$A$8</xm:f>
          </x14:formula1>
          <xm:sqref>E98:E178 J98:J178 O98:O178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B0998-9EB7-4945-BA9F-D54BBFB92EEB}">
  <sheetPr>
    <tabColor theme="7" tint="0.79998168889431442"/>
  </sheetPr>
  <dimension ref="A1:AC73"/>
  <sheetViews>
    <sheetView workbookViewId="0">
      <pane ySplit="2" topLeftCell="A66" activePane="bottomLeft" state="frozen"/>
      <selection pane="bottomLeft" activeCell="K69" sqref="K69:K71"/>
    </sheetView>
  </sheetViews>
  <sheetFormatPr defaultRowHeight="15"/>
  <cols>
    <col min="2" max="2" width="21.42578125" style="5" customWidth="1"/>
    <col min="3" max="3" width="37.140625" customWidth="1"/>
    <col min="4" max="4" width="33.5703125" customWidth="1"/>
    <col min="5" max="5" width="15.5703125" style="16" customWidth="1"/>
    <col min="6" max="6" width="12.7109375" style="16" hidden="1" customWidth="1"/>
    <col min="7" max="7" width="14.140625" style="16" hidden="1" customWidth="1"/>
    <col min="8" max="8" width="9.5703125" style="16" hidden="1" customWidth="1"/>
    <col min="9" max="9" width="10.7109375" style="16" customWidth="1"/>
    <col min="10" max="10" width="17.5703125" hidden="1" customWidth="1"/>
    <col min="11" max="11" width="10.85546875" customWidth="1"/>
    <col min="12" max="12" width="12.85546875" customWidth="1"/>
    <col min="13" max="13" width="9" bestFit="1" customWidth="1"/>
    <col min="14" max="14" width="16" hidden="1" customWidth="1"/>
    <col min="15" max="15" width="22.28515625" hidden="1" customWidth="1"/>
    <col min="16" max="16" width="15.5703125" customWidth="1"/>
    <col min="17" max="17" width="14" style="133" customWidth="1"/>
    <col min="18" max="18" width="12.7109375" style="133" customWidth="1"/>
    <col min="19" max="19" width="11.42578125" style="133" customWidth="1"/>
    <col min="20" max="20" width="27.85546875" style="133" customWidth="1"/>
    <col min="21" max="27" width="19.7109375" style="133" customWidth="1"/>
    <col min="28" max="28" width="28.42578125" style="133" customWidth="1"/>
    <col min="29" max="29" width="29.42578125" customWidth="1"/>
  </cols>
  <sheetData>
    <row r="1" spans="1:29">
      <c r="Q1"/>
      <c r="R1"/>
      <c r="S1"/>
      <c r="T1"/>
      <c r="U1" s="406" t="s">
        <v>76</v>
      </c>
      <c r="V1" s="554"/>
      <c r="W1" s="554"/>
      <c r="X1" s="555"/>
      <c r="Y1" s="409" t="s">
        <v>77</v>
      </c>
      <c r="Z1" s="556"/>
    </row>
    <row r="2" spans="1:29" ht="60.75" customHeight="1">
      <c r="A2" s="100" t="s">
        <v>366</v>
      </c>
      <c r="B2" s="100" t="s">
        <v>78</v>
      </c>
      <c r="C2" s="101" t="s">
        <v>79</v>
      </c>
      <c r="D2" s="102" t="s">
        <v>367</v>
      </c>
      <c r="E2" s="103" t="s">
        <v>368</v>
      </c>
      <c r="F2" s="102" t="s">
        <v>369</v>
      </c>
      <c r="G2" s="102" t="s">
        <v>370</v>
      </c>
      <c r="H2" s="102" t="s">
        <v>371</v>
      </c>
      <c r="I2" s="103" t="s">
        <v>85</v>
      </c>
      <c r="J2" s="102" t="s">
        <v>86</v>
      </c>
      <c r="K2" s="112" t="s">
        <v>192</v>
      </c>
      <c r="L2" s="344" t="s">
        <v>372</v>
      </c>
      <c r="M2" s="112" t="s">
        <v>373</v>
      </c>
      <c r="N2" s="42" t="s">
        <v>374</v>
      </c>
      <c r="O2" s="42" t="s">
        <v>375</v>
      </c>
      <c r="P2" s="103" t="s">
        <v>368</v>
      </c>
      <c r="Q2" s="103" t="s">
        <v>85</v>
      </c>
      <c r="R2" s="344" t="s">
        <v>376</v>
      </c>
      <c r="S2" s="344" t="s">
        <v>373</v>
      </c>
      <c r="T2" s="104" t="s">
        <v>377</v>
      </c>
      <c r="U2" s="131" t="s">
        <v>90</v>
      </c>
      <c r="V2" s="182" t="s">
        <v>89</v>
      </c>
      <c r="W2" s="182" t="s">
        <v>82</v>
      </c>
      <c r="X2" s="182" t="s">
        <v>83</v>
      </c>
      <c r="Y2" s="182" t="s">
        <v>82</v>
      </c>
      <c r="Z2" s="182" t="s">
        <v>83</v>
      </c>
      <c r="AA2" s="182" t="s">
        <v>91</v>
      </c>
      <c r="AB2" s="182" t="s">
        <v>92</v>
      </c>
      <c r="AC2" s="124" t="s">
        <v>378</v>
      </c>
    </row>
    <row r="3" spans="1:29" ht="14.45" customHeight="1">
      <c r="A3" s="557" t="s">
        <v>379</v>
      </c>
      <c r="B3" s="557" t="s">
        <v>380</v>
      </c>
      <c r="C3" s="83" t="s">
        <v>381</v>
      </c>
      <c r="D3" s="83"/>
      <c r="E3" s="109">
        <v>45743</v>
      </c>
      <c r="F3" s="109">
        <v>45743</v>
      </c>
      <c r="G3" s="84">
        <v>45749</v>
      </c>
      <c r="H3" s="84">
        <v>45749</v>
      </c>
      <c r="I3" s="85" t="s">
        <v>98</v>
      </c>
      <c r="J3" s="111" t="s">
        <v>382</v>
      </c>
      <c r="K3" s="85"/>
      <c r="L3" s="85"/>
      <c r="M3" s="85"/>
      <c r="N3" s="125"/>
      <c r="O3" s="125"/>
      <c r="P3" s="343"/>
      <c r="Q3" s="343"/>
      <c r="R3" s="42" t="s">
        <v>374</v>
      </c>
      <c r="S3" s="42" t="s">
        <v>375</v>
      </c>
      <c r="T3" s="125"/>
      <c r="U3" s="125"/>
      <c r="V3" s="125"/>
      <c r="W3" s="125"/>
      <c r="X3" s="125"/>
      <c r="Y3" s="414" t="s">
        <v>383</v>
      </c>
      <c r="Z3" s="414" t="s">
        <v>384</v>
      </c>
      <c r="AA3" s="125"/>
      <c r="AB3" s="414" t="s">
        <v>385</v>
      </c>
      <c r="AC3" s="566" t="s">
        <v>386</v>
      </c>
    </row>
    <row r="4" spans="1:29" ht="14.45" customHeight="1">
      <c r="A4" s="558"/>
      <c r="B4" s="558"/>
      <c r="C4" s="3" t="s">
        <v>387</v>
      </c>
      <c r="D4" s="3"/>
      <c r="E4" s="61">
        <v>45743</v>
      </c>
      <c r="F4" s="61">
        <v>45743</v>
      </c>
      <c r="G4" s="46">
        <v>45749</v>
      </c>
      <c r="H4" s="46">
        <v>45749</v>
      </c>
      <c r="I4" s="45" t="s">
        <v>98</v>
      </c>
      <c r="J4" s="81" t="s">
        <v>388</v>
      </c>
      <c r="K4" s="45"/>
      <c r="L4" s="45"/>
      <c r="M4" s="45"/>
      <c r="N4" s="126"/>
      <c r="O4" s="126"/>
      <c r="P4" s="345"/>
      <c r="Q4" s="345"/>
      <c r="R4" s="125"/>
      <c r="S4" s="125"/>
      <c r="T4" s="107"/>
      <c r="Y4" s="560"/>
      <c r="Z4" s="562"/>
      <c r="AB4" s="562"/>
      <c r="AC4" s="566"/>
    </row>
    <row r="5" spans="1:29" ht="14.45" customHeight="1">
      <c r="A5" s="558"/>
      <c r="B5" s="558"/>
      <c r="C5" s="3" t="s">
        <v>389</v>
      </c>
      <c r="D5" s="3" t="s">
        <v>390</v>
      </c>
      <c r="E5" s="61">
        <v>45743</v>
      </c>
      <c r="F5" s="61">
        <v>45743</v>
      </c>
      <c r="G5" s="46">
        <v>45749</v>
      </c>
      <c r="H5" s="46">
        <v>45749</v>
      </c>
      <c r="I5" s="45" t="s">
        <v>98</v>
      </c>
      <c r="J5" s="3" t="s">
        <v>52</v>
      </c>
      <c r="K5" s="45">
        <v>30</v>
      </c>
      <c r="L5" s="155">
        <v>0.249</v>
      </c>
      <c r="M5" s="155">
        <v>0.34300000000000003</v>
      </c>
      <c r="N5" s="126"/>
      <c r="O5" s="126"/>
      <c r="P5" s="156"/>
      <c r="Q5" s="156"/>
      <c r="R5" s="126"/>
      <c r="S5" s="126"/>
      <c r="T5" s="107"/>
      <c r="U5" s="181"/>
      <c r="V5" s="181"/>
      <c r="W5" s="181"/>
      <c r="X5" s="181"/>
      <c r="Y5" s="560"/>
      <c r="Z5" s="562"/>
      <c r="AA5" s="181"/>
      <c r="AB5" s="562"/>
      <c r="AC5" s="566"/>
    </row>
    <row r="6" spans="1:29" ht="14.45" customHeight="1">
      <c r="A6" s="558"/>
      <c r="B6" s="558"/>
      <c r="C6" s="3" t="s">
        <v>391</v>
      </c>
      <c r="D6" s="3" t="s">
        <v>392</v>
      </c>
      <c r="E6" s="61">
        <v>45743</v>
      </c>
      <c r="F6" s="61">
        <v>45743</v>
      </c>
      <c r="G6" s="46">
        <v>45749</v>
      </c>
      <c r="H6" s="46">
        <v>45749</v>
      </c>
      <c r="I6" s="123" t="s">
        <v>98</v>
      </c>
      <c r="J6" s="3"/>
      <c r="K6" s="45">
        <v>30</v>
      </c>
      <c r="L6" s="96">
        <v>7.468</v>
      </c>
      <c r="M6" s="96">
        <v>7.6159999999999997</v>
      </c>
      <c r="N6" s="156">
        <v>3.5870000000000002</v>
      </c>
      <c r="O6" s="156">
        <v>3.8410000000000002</v>
      </c>
      <c r="P6" s="346"/>
      <c r="Q6" s="346"/>
      <c r="R6" s="126"/>
      <c r="S6" s="126"/>
      <c r="T6" s="107" t="s">
        <v>393</v>
      </c>
      <c r="U6" s="181"/>
      <c r="V6" s="181"/>
      <c r="W6" s="181"/>
      <c r="X6" s="181"/>
      <c r="Y6" s="560"/>
      <c r="Z6" s="562"/>
      <c r="AA6" s="181"/>
      <c r="AB6" s="562"/>
      <c r="AC6" s="566"/>
    </row>
    <row r="7" spans="1:29" ht="14.45" customHeight="1">
      <c r="A7" s="558"/>
      <c r="B7" s="558"/>
      <c r="C7" s="3" t="s">
        <v>394</v>
      </c>
      <c r="D7" s="3" t="s">
        <v>395</v>
      </c>
      <c r="E7" s="61">
        <v>45743</v>
      </c>
      <c r="F7" s="61">
        <v>45743</v>
      </c>
      <c r="G7" s="46">
        <v>45749</v>
      </c>
      <c r="H7" s="46">
        <v>45749</v>
      </c>
      <c r="I7" s="45" t="s">
        <v>98</v>
      </c>
      <c r="J7" s="3"/>
      <c r="K7" s="45">
        <v>30</v>
      </c>
      <c r="L7" s="155">
        <v>2.1389999999999998</v>
      </c>
      <c r="M7" s="155">
        <v>2.7269999999999999</v>
      </c>
      <c r="N7" s="126"/>
      <c r="O7" s="126"/>
      <c r="P7" s="156"/>
      <c r="Q7" s="156"/>
      <c r="R7" s="156">
        <v>3.5870000000000002</v>
      </c>
      <c r="S7" s="156">
        <v>3.8410000000000002</v>
      </c>
      <c r="T7" s="107"/>
      <c r="U7" s="181"/>
      <c r="V7" s="181"/>
      <c r="W7" s="181"/>
      <c r="X7" s="181"/>
      <c r="Y7" s="560"/>
      <c r="Z7" s="562"/>
      <c r="AA7" s="181"/>
      <c r="AB7" s="562"/>
      <c r="AC7" s="566"/>
    </row>
    <row r="8" spans="1:29" ht="37.5" customHeight="1">
      <c r="A8" s="558"/>
      <c r="B8" s="558"/>
      <c r="C8" s="3" t="s">
        <v>396</v>
      </c>
      <c r="D8" s="3" t="s">
        <v>397</v>
      </c>
      <c r="E8" s="61">
        <v>45743</v>
      </c>
      <c r="F8" s="61">
        <v>45743</v>
      </c>
      <c r="G8" s="46">
        <v>45749</v>
      </c>
      <c r="H8" s="46">
        <v>45749</v>
      </c>
      <c r="I8" s="92" t="s">
        <v>98</v>
      </c>
      <c r="J8" s="3"/>
      <c r="K8" s="45">
        <v>30</v>
      </c>
      <c r="L8" s="96">
        <v>6.4390000000000001</v>
      </c>
      <c r="M8" s="96">
        <v>9.6829999999999998</v>
      </c>
      <c r="N8" s="129"/>
      <c r="O8" s="129"/>
      <c r="P8" s="346"/>
      <c r="Q8" s="346"/>
      <c r="R8" s="126"/>
      <c r="S8" s="126"/>
      <c r="T8" s="221" t="s">
        <v>398</v>
      </c>
      <c r="U8" s="181"/>
      <c r="V8" s="181"/>
      <c r="W8" s="181"/>
      <c r="X8" s="181"/>
      <c r="Y8" s="560"/>
      <c r="Z8" s="562"/>
      <c r="AA8" s="181"/>
      <c r="AB8" s="562"/>
      <c r="AC8" s="566"/>
    </row>
    <row r="9" spans="1:29" ht="14.45" customHeight="1">
      <c r="A9" s="558"/>
      <c r="B9" s="558"/>
      <c r="C9" s="3" t="s">
        <v>399</v>
      </c>
      <c r="D9" s="3" t="s">
        <v>400</v>
      </c>
      <c r="E9" s="61">
        <v>45743</v>
      </c>
      <c r="F9" s="61">
        <v>45743</v>
      </c>
      <c r="G9" s="46">
        <v>45749</v>
      </c>
      <c r="H9" s="46">
        <v>45749</v>
      </c>
      <c r="I9" s="45" t="s">
        <v>98</v>
      </c>
      <c r="J9" s="3"/>
      <c r="K9" s="45">
        <v>30</v>
      </c>
      <c r="L9" s="155">
        <v>2.6040000000000001</v>
      </c>
      <c r="M9" s="155">
        <v>2.5630000000000002</v>
      </c>
      <c r="N9" s="126"/>
      <c r="O9" s="126"/>
      <c r="P9" s="156"/>
      <c r="Q9" s="156"/>
      <c r="R9" s="129"/>
      <c r="S9" s="129"/>
      <c r="T9" s="107"/>
      <c r="U9" s="181"/>
      <c r="V9" s="181"/>
      <c r="W9" s="181"/>
      <c r="X9" s="181"/>
      <c r="Y9" s="560"/>
      <c r="Z9" s="562"/>
      <c r="AA9" s="181"/>
      <c r="AB9" s="562"/>
      <c r="AC9" s="566"/>
    </row>
    <row r="10" spans="1:29" ht="32.25" customHeight="1">
      <c r="A10" s="559"/>
      <c r="B10" s="559"/>
      <c r="C10" s="86" t="s">
        <v>401</v>
      </c>
      <c r="D10" s="86" t="s">
        <v>402</v>
      </c>
      <c r="E10" s="105">
        <v>45743</v>
      </c>
      <c r="F10" s="105">
        <v>45743</v>
      </c>
      <c r="G10" s="87">
        <v>45749</v>
      </c>
      <c r="H10" s="87">
        <v>45749</v>
      </c>
      <c r="I10" s="108" t="s">
        <v>98</v>
      </c>
      <c r="J10" s="86"/>
      <c r="K10" s="88">
        <v>30</v>
      </c>
      <c r="L10" s="106">
        <v>7.431</v>
      </c>
      <c r="M10" s="106">
        <v>12.707000000000001</v>
      </c>
      <c r="N10" s="134"/>
      <c r="O10" s="134"/>
      <c r="P10" s="347"/>
      <c r="Q10" s="347"/>
      <c r="R10" s="126"/>
      <c r="S10" s="126"/>
      <c r="T10" s="221" t="s">
        <v>398</v>
      </c>
      <c r="U10" s="181"/>
      <c r="V10" s="181"/>
      <c r="W10" s="181"/>
      <c r="X10" s="181"/>
      <c r="Y10" s="560"/>
      <c r="Z10" s="562"/>
      <c r="AA10" s="181"/>
      <c r="AB10" s="562"/>
      <c r="AC10" s="566"/>
    </row>
    <row r="11" spans="1:29" ht="14.45" customHeight="1">
      <c r="A11" s="557" t="s">
        <v>379</v>
      </c>
      <c r="B11" s="557" t="s">
        <v>403</v>
      </c>
      <c r="C11" s="83" t="s">
        <v>381</v>
      </c>
      <c r="D11" s="83"/>
      <c r="E11" s="109">
        <v>45743</v>
      </c>
      <c r="F11" s="109">
        <v>45743</v>
      </c>
      <c r="G11" s="84">
        <v>45749</v>
      </c>
      <c r="H11" s="84">
        <v>45749</v>
      </c>
      <c r="I11" s="85" t="s">
        <v>98</v>
      </c>
      <c r="J11" s="83"/>
      <c r="K11" s="85"/>
      <c r="L11" s="85"/>
      <c r="M11" s="85"/>
      <c r="N11" s="125"/>
      <c r="O11" s="125"/>
      <c r="P11" s="89"/>
      <c r="Q11" s="89"/>
      <c r="R11" s="134"/>
      <c r="S11" s="134"/>
      <c r="T11" s="110"/>
      <c r="U11" s="181"/>
      <c r="V11" s="181"/>
      <c r="W11" s="181"/>
      <c r="X11" s="181"/>
      <c r="Y11" s="560"/>
      <c r="Z11" s="562"/>
      <c r="AA11" s="181"/>
      <c r="AB11" s="562"/>
      <c r="AC11" s="566"/>
    </row>
    <row r="12" spans="1:29" ht="14.45" customHeight="1">
      <c r="A12" s="558"/>
      <c r="B12" s="558"/>
      <c r="C12" s="3" t="s">
        <v>387</v>
      </c>
      <c r="D12" s="3"/>
      <c r="E12" s="61">
        <v>45743</v>
      </c>
      <c r="F12" s="61">
        <v>45743</v>
      </c>
      <c r="G12" s="46">
        <v>45749</v>
      </c>
      <c r="H12" s="46">
        <v>45749</v>
      </c>
      <c r="I12" s="45" t="s">
        <v>98</v>
      </c>
      <c r="J12" s="3"/>
      <c r="K12" s="3"/>
      <c r="L12" s="3"/>
      <c r="M12" s="3"/>
      <c r="N12" s="51"/>
      <c r="O12" s="51"/>
      <c r="P12" s="348"/>
      <c r="Q12" s="348"/>
      <c r="R12" s="125"/>
      <c r="S12" s="125"/>
      <c r="T12" s="107"/>
      <c r="U12" s="181"/>
      <c r="V12" s="181"/>
      <c r="W12" s="181"/>
      <c r="X12" s="181"/>
      <c r="Y12" s="560"/>
      <c r="Z12" s="562"/>
      <c r="AA12" s="181"/>
      <c r="AB12" s="562"/>
      <c r="AC12" s="566"/>
    </row>
    <row r="13" spans="1:29" ht="14.45" customHeight="1">
      <c r="A13" s="558"/>
      <c r="B13" s="558"/>
      <c r="C13" s="3" t="s">
        <v>389</v>
      </c>
      <c r="D13" s="3" t="s">
        <v>390</v>
      </c>
      <c r="E13" s="61">
        <v>45743</v>
      </c>
      <c r="F13" s="61">
        <v>45743</v>
      </c>
      <c r="G13" s="46">
        <v>45749</v>
      </c>
      <c r="H13" s="46">
        <v>45749</v>
      </c>
      <c r="I13" s="97" t="s">
        <v>98</v>
      </c>
      <c r="J13" s="3"/>
      <c r="K13" s="45">
        <v>30</v>
      </c>
      <c r="L13" s="155">
        <v>0.22600000000000001</v>
      </c>
      <c r="M13" s="155">
        <v>0.27700000000000002</v>
      </c>
      <c r="N13" s="126"/>
      <c r="O13" s="126"/>
      <c r="P13" s="156"/>
      <c r="Q13" s="156"/>
      <c r="R13" s="51"/>
      <c r="S13" s="51"/>
      <c r="T13" s="107"/>
      <c r="U13" s="181"/>
      <c r="V13" s="181"/>
      <c r="W13" s="181"/>
      <c r="X13" s="181"/>
      <c r="Y13" s="560"/>
      <c r="Z13" s="562"/>
      <c r="AA13" s="181"/>
      <c r="AB13" s="562"/>
      <c r="AC13" s="566"/>
    </row>
    <row r="14" spans="1:29" ht="14.45" customHeight="1">
      <c r="A14" s="558"/>
      <c r="B14" s="558"/>
      <c r="C14" s="3" t="s">
        <v>391</v>
      </c>
      <c r="D14" s="3" t="s">
        <v>392</v>
      </c>
      <c r="E14" s="61">
        <v>45743</v>
      </c>
      <c r="F14" s="61">
        <v>45743</v>
      </c>
      <c r="G14" s="46">
        <v>45749</v>
      </c>
      <c r="H14" s="46">
        <v>45749</v>
      </c>
      <c r="I14" s="45" t="s">
        <v>98</v>
      </c>
      <c r="J14" s="3"/>
      <c r="K14" s="45">
        <v>30</v>
      </c>
      <c r="L14" s="96">
        <v>8.0009999999999994</v>
      </c>
      <c r="M14" s="96">
        <v>7.46</v>
      </c>
      <c r="N14" s="156">
        <v>3.5870000000000002</v>
      </c>
      <c r="O14" s="156">
        <v>3.8410000000000002</v>
      </c>
      <c r="P14" s="346"/>
      <c r="Q14" s="346"/>
      <c r="R14" s="126"/>
      <c r="S14" s="126"/>
      <c r="T14" s="107" t="s">
        <v>404</v>
      </c>
      <c r="U14" s="181"/>
      <c r="V14" s="181"/>
      <c r="W14" s="181"/>
      <c r="X14" s="181"/>
      <c r="Y14" s="560"/>
      <c r="Z14" s="562"/>
      <c r="AA14" s="181"/>
      <c r="AB14" s="562"/>
      <c r="AC14" s="566"/>
    </row>
    <row r="15" spans="1:29" ht="14.45" customHeight="1">
      <c r="A15" s="558"/>
      <c r="B15" s="558"/>
      <c r="C15" s="3" t="s">
        <v>394</v>
      </c>
      <c r="D15" s="3" t="s">
        <v>405</v>
      </c>
      <c r="E15" s="61">
        <v>45743</v>
      </c>
      <c r="F15" s="61">
        <v>45743</v>
      </c>
      <c r="G15" s="46">
        <v>45749</v>
      </c>
      <c r="H15" s="46">
        <v>45749</v>
      </c>
      <c r="I15" s="45" t="s">
        <v>98</v>
      </c>
      <c r="J15" s="3"/>
      <c r="K15" s="45">
        <v>30</v>
      </c>
      <c r="L15" s="155">
        <v>2.0739999999999998</v>
      </c>
      <c r="M15" s="155">
        <v>2.3780000000000001</v>
      </c>
      <c r="N15" s="126"/>
      <c r="O15" s="126"/>
      <c r="P15" s="156"/>
      <c r="Q15" s="156"/>
      <c r="R15" s="156">
        <v>3.5870000000000002</v>
      </c>
      <c r="S15" s="156">
        <v>3.8410000000000002</v>
      </c>
      <c r="T15" s="107"/>
      <c r="U15" s="181"/>
      <c r="V15" s="181"/>
      <c r="W15" s="181"/>
      <c r="X15" s="181"/>
      <c r="Y15" s="560"/>
      <c r="Z15" s="562"/>
      <c r="AA15" s="181"/>
      <c r="AB15" s="562"/>
      <c r="AC15" s="566"/>
    </row>
    <row r="16" spans="1:29" ht="30" customHeight="1">
      <c r="A16" s="558"/>
      <c r="B16" s="558"/>
      <c r="C16" s="3" t="s">
        <v>406</v>
      </c>
      <c r="D16" s="3" t="s">
        <v>407</v>
      </c>
      <c r="E16" s="61">
        <v>45743</v>
      </c>
      <c r="F16" s="61">
        <v>45743</v>
      </c>
      <c r="G16" s="46">
        <v>45749</v>
      </c>
      <c r="H16" s="46">
        <v>45749</v>
      </c>
      <c r="I16" s="45" t="s">
        <v>98</v>
      </c>
      <c r="J16" s="3"/>
      <c r="K16" s="45">
        <v>30</v>
      </c>
      <c r="L16" s="96">
        <v>7.5609999999999999</v>
      </c>
      <c r="M16" s="96">
        <v>11.679</v>
      </c>
      <c r="N16" s="129"/>
      <c r="O16" s="129"/>
      <c r="P16" s="346"/>
      <c r="Q16" s="346"/>
      <c r="R16" s="126"/>
      <c r="S16" s="126"/>
      <c r="T16" s="221" t="s">
        <v>398</v>
      </c>
      <c r="U16" s="181"/>
      <c r="V16" s="181"/>
      <c r="W16" s="181"/>
      <c r="X16" s="181"/>
      <c r="Y16" s="560"/>
      <c r="Z16" s="562"/>
      <c r="AA16" s="181"/>
      <c r="AB16" s="562"/>
      <c r="AC16" s="566"/>
    </row>
    <row r="17" spans="1:29" ht="14.45" customHeight="1">
      <c r="A17" s="558"/>
      <c r="B17" s="558"/>
      <c r="C17" s="3" t="s">
        <v>399</v>
      </c>
      <c r="D17" s="3" t="s">
        <v>400</v>
      </c>
      <c r="E17" s="61">
        <v>45743</v>
      </c>
      <c r="F17" s="61">
        <v>45743</v>
      </c>
      <c r="G17" s="46">
        <v>45749</v>
      </c>
      <c r="H17" s="46">
        <v>45749</v>
      </c>
      <c r="I17" s="45" t="s">
        <v>98</v>
      </c>
      <c r="J17" s="3"/>
      <c r="K17" s="45">
        <v>30</v>
      </c>
      <c r="L17" s="155">
        <v>2.5960000000000001</v>
      </c>
      <c r="M17" s="155">
        <v>2.9220000000000002</v>
      </c>
      <c r="N17" s="126"/>
      <c r="O17" s="126"/>
      <c r="P17" s="156"/>
      <c r="Q17" s="156"/>
      <c r="R17" s="129"/>
      <c r="S17" s="129"/>
      <c r="T17" s="107"/>
      <c r="U17" s="181"/>
      <c r="V17" s="181"/>
      <c r="W17" s="181"/>
      <c r="X17" s="181"/>
      <c r="Y17" s="560"/>
      <c r="Z17" s="562"/>
      <c r="AA17" s="181"/>
      <c r="AB17" s="562"/>
      <c r="AC17" s="566"/>
    </row>
    <row r="18" spans="1:29" ht="31.5" customHeight="1">
      <c r="A18" s="559"/>
      <c r="B18" s="559"/>
      <c r="C18" s="86" t="s">
        <v>401</v>
      </c>
      <c r="D18" s="86" t="s">
        <v>402</v>
      </c>
      <c r="E18" s="105">
        <v>45743</v>
      </c>
      <c r="F18" s="105">
        <v>45743</v>
      </c>
      <c r="G18" s="87">
        <v>45749</v>
      </c>
      <c r="H18" s="87">
        <v>45749</v>
      </c>
      <c r="I18" s="88" t="s">
        <v>98</v>
      </c>
      <c r="J18" s="86"/>
      <c r="K18" s="88">
        <v>30</v>
      </c>
      <c r="L18" s="106">
        <v>8.2360000000000007</v>
      </c>
      <c r="M18" s="106">
        <v>11.108000000000001</v>
      </c>
      <c r="N18" s="134"/>
      <c r="O18" s="134"/>
      <c r="P18" s="347"/>
      <c r="Q18" s="347"/>
      <c r="R18" s="126"/>
      <c r="S18" s="126"/>
      <c r="T18" s="221" t="s">
        <v>398</v>
      </c>
      <c r="U18" s="181"/>
      <c r="V18" s="181"/>
      <c r="W18" s="181"/>
      <c r="X18" s="181"/>
      <c r="Y18" s="560"/>
      <c r="Z18" s="562"/>
      <c r="AA18" s="181"/>
      <c r="AB18" s="562"/>
      <c r="AC18" s="566"/>
    </row>
    <row r="19" spans="1:29" ht="14.45" customHeight="1">
      <c r="A19" s="557" t="s">
        <v>379</v>
      </c>
      <c r="B19" s="563" t="s">
        <v>408</v>
      </c>
      <c r="C19" s="83" t="s">
        <v>381</v>
      </c>
      <c r="D19" s="83"/>
      <c r="E19" s="109">
        <v>45743</v>
      </c>
      <c r="F19" s="109">
        <v>45743</v>
      </c>
      <c r="G19" s="84">
        <v>45749</v>
      </c>
      <c r="H19" s="84">
        <v>45749</v>
      </c>
      <c r="I19" s="85" t="s">
        <v>98</v>
      </c>
      <c r="J19" s="83"/>
      <c r="K19" s="85"/>
      <c r="L19" s="85"/>
      <c r="M19" s="85"/>
      <c r="N19" s="125"/>
      <c r="O19" s="125"/>
      <c r="P19" s="89"/>
      <c r="Q19" s="89"/>
      <c r="R19" s="134"/>
      <c r="S19" s="134"/>
      <c r="T19" s="110"/>
      <c r="U19" s="181"/>
      <c r="V19" s="181"/>
      <c r="W19" s="181"/>
      <c r="X19" s="181"/>
      <c r="Y19" s="560"/>
      <c r="Z19" s="562"/>
      <c r="AA19" s="181"/>
      <c r="AB19" s="562"/>
      <c r="AC19" s="566"/>
    </row>
    <row r="20" spans="1:29" ht="14.45" customHeight="1">
      <c r="A20" s="558"/>
      <c r="B20" s="564"/>
      <c r="C20" s="3" t="s">
        <v>387</v>
      </c>
      <c r="D20" s="3"/>
      <c r="E20" s="61">
        <v>45743</v>
      </c>
      <c r="F20" s="61">
        <v>45743</v>
      </c>
      <c r="G20" s="46">
        <v>45749</v>
      </c>
      <c r="H20" s="46">
        <v>45749</v>
      </c>
      <c r="I20" s="45" t="s">
        <v>98</v>
      </c>
      <c r="J20" s="3"/>
      <c r="K20" s="45"/>
      <c r="L20" s="45"/>
      <c r="M20" s="45"/>
      <c r="N20" s="126"/>
      <c r="O20" s="126"/>
      <c r="P20" s="345"/>
      <c r="Q20" s="345"/>
      <c r="R20" s="125"/>
      <c r="S20" s="125"/>
      <c r="T20" s="107"/>
      <c r="U20" s="181"/>
      <c r="V20" s="181"/>
      <c r="W20" s="181"/>
      <c r="X20" s="181"/>
      <c r="Y20" s="560"/>
      <c r="Z20" s="562"/>
      <c r="AA20" s="181"/>
      <c r="AB20" s="562"/>
      <c r="AC20" s="566"/>
    </row>
    <row r="21" spans="1:29" ht="14.45" customHeight="1">
      <c r="A21" s="558"/>
      <c r="B21" s="564"/>
      <c r="C21" s="3" t="s">
        <v>389</v>
      </c>
      <c r="D21" s="3" t="s">
        <v>390</v>
      </c>
      <c r="E21" s="61">
        <v>45743</v>
      </c>
      <c r="F21" s="61">
        <v>45743</v>
      </c>
      <c r="G21" s="46">
        <v>45749</v>
      </c>
      <c r="H21" s="46">
        <v>45749</v>
      </c>
      <c r="I21" s="45" t="s">
        <v>98</v>
      </c>
      <c r="J21" s="3"/>
      <c r="K21" s="45">
        <v>30</v>
      </c>
      <c r="L21" s="155">
        <v>0.22900000000000001</v>
      </c>
      <c r="M21" s="155">
        <v>0.3</v>
      </c>
      <c r="N21" s="126"/>
      <c r="O21" s="126"/>
      <c r="P21" s="156"/>
      <c r="Q21" s="156"/>
      <c r="R21" s="126"/>
      <c r="S21" s="126"/>
      <c r="T21" s="107"/>
      <c r="U21" s="181"/>
      <c r="V21" s="181"/>
      <c r="W21" s="181"/>
      <c r="X21" s="181"/>
      <c r="Y21" s="560"/>
      <c r="Z21" s="562"/>
      <c r="AA21" s="181"/>
      <c r="AB21" s="562"/>
      <c r="AC21" s="566"/>
    </row>
    <row r="22" spans="1:29" ht="14.45" customHeight="1">
      <c r="A22" s="558"/>
      <c r="B22" s="564"/>
      <c r="C22" s="3" t="s">
        <v>391</v>
      </c>
      <c r="D22" s="3" t="s">
        <v>392</v>
      </c>
      <c r="E22" s="61">
        <v>45743</v>
      </c>
      <c r="F22" s="61">
        <v>45743</v>
      </c>
      <c r="G22" s="46">
        <v>45749</v>
      </c>
      <c r="H22" s="46">
        <v>45749</v>
      </c>
      <c r="I22" s="45" t="s">
        <v>98</v>
      </c>
      <c r="J22" s="3"/>
      <c r="K22" s="45">
        <v>30</v>
      </c>
      <c r="L22" s="96">
        <v>7.61</v>
      </c>
      <c r="M22" s="96">
        <v>8.7560000000000002</v>
      </c>
      <c r="N22" s="156">
        <v>3.5870000000000002</v>
      </c>
      <c r="O22" s="156">
        <v>3.8410000000000002</v>
      </c>
      <c r="P22" s="346"/>
      <c r="Q22" s="346"/>
      <c r="R22" s="126"/>
      <c r="S22" s="126"/>
      <c r="T22" s="107" t="s">
        <v>404</v>
      </c>
      <c r="U22" s="181"/>
      <c r="V22" s="181"/>
      <c r="W22" s="181"/>
      <c r="X22" s="181"/>
      <c r="Y22" s="560"/>
      <c r="Z22" s="562"/>
      <c r="AA22" s="181"/>
      <c r="AB22" s="562"/>
      <c r="AC22" s="566"/>
    </row>
    <row r="23" spans="1:29" ht="14.45" customHeight="1">
      <c r="A23" s="558"/>
      <c r="B23" s="564"/>
      <c r="C23" s="3" t="s">
        <v>394</v>
      </c>
      <c r="D23" s="3" t="s">
        <v>395</v>
      </c>
      <c r="E23" s="61">
        <v>45743</v>
      </c>
      <c r="F23" s="61">
        <v>45743</v>
      </c>
      <c r="G23" s="46">
        <v>45749</v>
      </c>
      <c r="H23" s="46">
        <v>45749</v>
      </c>
      <c r="I23" s="45" t="s">
        <v>98</v>
      </c>
      <c r="J23" s="3"/>
      <c r="K23" s="45">
        <v>30</v>
      </c>
      <c r="L23" s="155">
        <v>2.1560000000000001</v>
      </c>
      <c r="M23" s="155">
        <v>2.734</v>
      </c>
      <c r="N23" s="126"/>
      <c r="O23" s="126"/>
      <c r="P23" s="156"/>
      <c r="Q23" s="156"/>
      <c r="R23" s="156">
        <v>3.5870000000000002</v>
      </c>
      <c r="S23" s="156">
        <v>3.8410000000000002</v>
      </c>
      <c r="T23" s="107"/>
      <c r="U23" s="181"/>
      <c r="V23" s="181"/>
      <c r="W23" s="181"/>
      <c r="X23" s="181"/>
      <c r="Y23" s="560"/>
      <c r="Z23" s="562"/>
      <c r="AA23" s="181"/>
      <c r="AB23" s="562"/>
      <c r="AC23" s="566"/>
    </row>
    <row r="24" spans="1:29" ht="30" customHeight="1">
      <c r="A24" s="558"/>
      <c r="B24" s="564"/>
      <c r="C24" s="3" t="s">
        <v>409</v>
      </c>
      <c r="D24" s="3" t="s">
        <v>410</v>
      </c>
      <c r="E24" s="61">
        <v>45743</v>
      </c>
      <c r="F24" s="61">
        <v>45743</v>
      </c>
      <c r="G24" s="46">
        <v>45749</v>
      </c>
      <c r="H24" s="46">
        <v>45749</v>
      </c>
      <c r="I24" s="45" t="s">
        <v>98</v>
      </c>
      <c r="J24" s="3"/>
      <c r="K24" s="45">
        <v>30</v>
      </c>
      <c r="L24" s="96">
        <v>7.1050000000000004</v>
      </c>
      <c r="M24" s="96">
        <v>9.8680000000000003</v>
      </c>
      <c r="N24" s="129"/>
      <c r="O24" s="129"/>
      <c r="P24" s="346"/>
      <c r="Q24" s="346"/>
      <c r="R24" s="126"/>
      <c r="S24" s="126"/>
      <c r="T24" s="221" t="s">
        <v>398</v>
      </c>
      <c r="U24" s="181"/>
      <c r="V24" s="181"/>
      <c r="W24" s="181"/>
      <c r="X24" s="181"/>
      <c r="Y24" s="560"/>
      <c r="Z24" s="562"/>
      <c r="AA24" s="181"/>
      <c r="AB24" s="562"/>
      <c r="AC24" s="566"/>
    </row>
    <row r="25" spans="1:29" ht="14.45" customHeight="1">
      <c r="A25" s="558"/>
      <c r="B25" s="564"/>
      <c r="C25" s="3" t="s">
        <v>399</v>
      </c>
      <c r="D25" s="3" t="s">
        <v>400</v>
      </c>
      <c r="E25" s="61">
        <v>45743</v>
      </c>
      <c r="F25" s="61">
        <v>45743</v>
      </c>
      <c r="G25" s="46">
        <v>45749</v>
      </c>
      <c r="H25" s="46">
        <v>45749</v>
      </c>
      <c r="I25" s="45" t="s">
        <v>98</v>
      </c>
      <c r="J25" s="3"/>
      <c r="K25" s="45">
        <v>30</v>
      </c>
      <c r="L25" s="155">
        <v>2.532</v>
      </c>
      <c r="M25" s="155">
        <v>3.044</v>
      </c>
      <c r="N25" s="126"/>
      <c r="O25" s="126"/>
      <c r="P25" s="156"/>
      <c r="Q25" s="156"/>
      <c r="R25" s="129"/>
      <c r="S25" s="129"/>
      <c r="T25" s="107"/>
      <c r="U25" s="181"/>
      <c r="V25" s="181"/>
      <c r="W25" s="181"/>
      <c r="X25" s="181"/>
      <c r="Y25" s="560"/>
      <c r="Z25" s="562"/>
      <c r="AA25" s="181"/>
      <c r="AB25" s="562"/>
      <c r="AC25" s="566"/>
    </row>
    <row r="26" spans="1:29" ht="31.5" customHeight="1">
      <c r="A26" s="559"/>
      <c r="B26" s="565"/>
      <c r="C26" s="86" t="s">
        <v>401</v>
      </c>
      <c r="D26" s="86" t="s">
        <v>402</v>
      </c>
      <c r="E26" s="105">
        <v>45743</v>
      </c>
      <c r="F26" s="105">
        <v>45743</v>
      </c>
      <c r="G26" s="87">
        <v>45749</v>
      </c>
      <c r="H26" s="87">
        <v>45749</v>
      </c>
      <c r="I26" s="88" t="s">
        <v>98</v>
      </c>
      <c r="J26" s="86"/>
      <c r="K26" s="88">
        <v>30</v>
      </c>
      <c r="L26" s="106">
        <v>6.9880000000000004</v>
      </c>
      <c r="M26" s="106">
        <v>8.3710000000000004</v>
      </c>
      <c r="N26" s="134"/>
      <c r="O26" s="134"/>
      <c r="P26" s="347"/>
      <c r="Q26" s="347"/>
      <c r="R26" s="126"/>
      <c r="S26" s="126"/>
      <c r="T26" s="221" t="s">
        <v>398</v>
      </c>
      <c r="U26" s="181"/>
      <c r="V26" s="181"/>
      <c r="W26" s="181"/>
      <c r="X26" s="181"/>
      <c r="Y26" s="560"/>
      <c r="Z26" s="562"/>
      <c r="AA26" s="181"/>
      <c r="AB26" s="562"/>
      <c r="AC26" s="566"/>
    </row>
    <row r="27" spans="1:29" ht="14.45" customHeight="1">
      <c r="A27" s="16" t="s">
        <v>379</v>
      </c>
      <c r="B27" s="339" t="s">
        <v>411</v>
      </c>
      <c r="C27" s="175" t="s">
        <v>412</v>
      </c>
      <c r="D27" s="175"/>
      <c r="E27" s="340">
        <v>45743</v>
      </c>
      <c r="F27" s="340">
        <v>45743</v>
      </c>
      <c r="G27" s="341">
        <v>45753</v>
      </c>
      <c r="H27" s="341">
        <v>45753</v>
      </c>
      <c r="I27" s="43" t="s">
        <v>98</v>
      </c>
      <c r="J27" s="175"/>
      <c r="K27" s="43">
        <v>2000</v>
      </c>
      <c r="L27" s="342">
        <v>0.78900000000000003</v>
      </c>
      <c r="M27" s="342">
        <v>1.3009999999999999</v>
      </c>
      <c r="N27" s="43"/>
      <c r="O27" s="43"/>
      <c r="P27" s="349"/>
      <c r="Q27" s="349"/>
      <c r="R27" s="134"/>
      <c r="S27" s="134"/>
      <c r="T27" s="3"/>
      <c r="U27" s="181"/>
      <c r="V27" s="181"/>
      <c r="W27" s="181"/>
      <c r="X27" s="181"/>
      <c r="Y27" s="560"/>
      <c r="Z27" s="562"/>
      <c r="AA27" s="181"/>
      <c r="AB27" s="562"/>
      <c r="AC27" s="566"/>
    </row>
    <row r="28" spans="1:29" ht="14.45" customHeight="1">
      <c r="A28" s="45" t="s">
        <v>379</v>
      </c>
      <c r="B28" s="6" t="s">
        <v>411</v>
      </c>
      <c r="C28" s="3" t="s">
        <v>413</v>
      </c>
      <c r="D28" s="3"/>
      <c r="E28" s="61">
        <v>45743</v>
      </c>
      <c r="F28" s="61">
        <v>45743</v>
      </c>
      <c r="G28" s="46">
        <v>45753</v>
      </c>
      <c r="H28" s="46">
        <v>45753</v>
      </c>
      <c r="I28" s="45" t="s">
        <v>98</v>
      </c>
      <c r="J28" s="3"/>
      <c r="K28" s="45">
        <v>2000</v>
      </c>
      <c r="L28" s="155">
        <v>0.56299999999999994</v>
      </c>
      <c r="M28" s="155">
        <v>0.95899999999999996</v>
      </c>
      <c r="N28" s="45"/>
      <c r="O28" s="45"/>
      <c r="P28" s="155"/>
      <c r="Q28" s="155"/>
      <c r="R28" s="45"/>
      <c r="S28" s="45"/>
      <c r="T28" s="3"/>
      <c r="U28" s="181"/>
      <c r="V28" s="181"/>
      <c r="W28" s="181"/>
      <c r="X28" s="181"/>
      <c r="Y28" s="561"/>
      <c r="Z28" s="415"/>
      <c r="AA28" s="181"/>
      <c r="AB28" s="415"/>
      <c r="AC28" s="566"/>
    </row>
    <row r="29" spans="1:29">
      <c r="A29" s="3"/>
      <c r="B29" s="6"/>
      <c r="C29" s="3"/>
      <c r="D29" s="3"/>
      <c r="E29" s="45"/>
      <c r="F29" s="45"/>
      <c r="G29" s="45"/>
      <c r="H29" s="45"/>
      <c r="I29" s="45"/>
      <c r="J29" s="3"/>
      <c r="K29" s="3"/>
      <c r="L29" s="3"/>
      <c r="M29" s="3"/>
      <c r="N29" s="3"/>
      <c r="O29" s="3"/>
      <c r="Q29"/>
      <c r="R29" s="43"/>
      <c r="S29" s="43"/>
      <c r="T29"/>
      <c r="U29" s="181"/>
      <c r="V29" s="181"/>
      <c r="W29" s="181"/>
      <c r="X29" s="181"/>
      <c r="Y29" s="181"/>
      <c r="Z29" s="181"/>
      <c r="AA29" s="181"/>
      <c r="AB29" s="181"/>
    </row>
    <row r="30" spans="1:29">
      <c r="A30" s="3" t="s">
        <v>414</v>
      </c>
      <c r="B30" s="3" t="s">
        <v>415</v>
      </c>
      <c r="C30" s="3" t="s">
        <v>416</v>
      </c>
      <c r="D30" s="3"/>
      <c r="E30" s="53">
        <v>45984</v>
      </c>
      <c r="F30" s="45"/>
      <c r="G30" s="45"/>
      <c r="H30" s="45"/>
      <c r="I30" s="45" t="s">
        <v>98</v>
      </c>
      <c r="J30" s="3"/>
      <c r="K30" s="3">
        <v>30</v>
      </c>
      <c r="L30" s="157">
        <v>0.41399999999999998</v>
      </c>
      <c r="M30" s="157">
        <v>0.45</v>
      </c>
      <c r="N30" s="3"/>
      <c r="O30" s="3"/>
      <c r="P30" s="350">
        <v>46009</v>
      </c>
      <c r="Q30" s="45" t="s">
        <v>98</v>
      </c>
      <c r="R30" s="157">
        <v>0.56399999999999995</v>
      </c>
      <c r="S30" s="157">
        <v>0.76500000000000001</v>
      </c>
      <c r="T30"/>
      <c r="U30" s="181"/>
      <c r="V30" s="181"/>
      <c r="W30" s="181"/>
      <c r="X30" s="181"/>
      <c r="Y30" s="181"/>
      <c r="Z30" s="181"/>
      <c r="AA30" s="181"/>
      <c r="AB30" s="181"/>
    </row>
    <row r="31" spans="1:29">
      <c r="A31" s="3"/>
      <c r="B31" s="3"/>
      <c r="C31" s="3" t="s">
        <v>417</v>
      </c>
      <c r="D31" s="3"/>
      <c r="E31" s="53">
        <v>45984</v>
      </c>
      <c r="F31" s="45"/>
      <c r="G31" s="45"/>
      <c r="H31" s="45"/>
      <c r="I31" s="45" t="s">
        <v>98</v>
      </c>
      <c r="J31" s="3"/>
      <c r="K31" s="3">
        <v>30</v>
      </c>
      <c r="L31" s="157">
        <v>1.361</v>
      </c>
      <c r="M31" s="157">
        <v>0.52400000000000002</v>
      </c>
      <c r="N31" s="3"/>
      <c r="O31" s="3"/>
      <c r="P31" s="350">
        <v>46009</v>
      </c>
      <c r="Q31" s="45" t="s">
        <v>98</v>
      </c>
      <c r="R31" s="157">
        <v>0.495</v>
      </c>
      <c r="S31" s="157">
        <v>0.65500000000000003</v>
      </c>
      <c r="T31"/>
      <c r="U31" s="181"/>
      <c r="V31" s="181"/>
      <c r="W31" s="181"/>
      <c r="X31" s="181"/>
      <c r="Y31" s="181"/>
      <c r="Z31" s="181"/>
      <c r="AA31" s="181"/>
      <c r="AB31" s="181"/>
    </row>
    <row r="32" spans="1:29">
      <c r="A32" s="3"/>
      <c r="B32" s="3"/>
      <c r="C32" s="3" t="s">
        <v>418</v>
      </c>
      <c r="D32" s="3"/>
      <c r="E32" s="53">
        <v>45984</v>
      </c>
      <c r="F32" s="45"/>
      <c r="G32" s="45"/>
      <c r="H32" s="45"/>
      <c r="I32" s="45" t="s">
        <v>98</v>
      </c>
      <c r="J32" s="3"/>
      <c r="K32" s="3">
        <v>30</v>
      </c>
      <c r="L32" s="157">
        <v>0.40500000000000003</v>
      </c>
      <c r="M32" s="157">
        <v>0.439</v>
      </c>
      <c r="N32" s="3"/>
      <c r="O32" s="3"/>
      <c r="P32" s="350">
        <v>46009</v>
      </c>
      <c r="Q32" s="45" t="s">
        <v>98</v>
      </c>
      <c r="R32" s="157">
        <v>0.49099999999999999</v>
      </c>
      <c r="S32" s="157">
        <v>0.59899999999999998</v>
      </c>
      <c r="T32"/>
      <c r="U32" s="181"/>
      <c r="V32" s="181"/>
      <c r="W32" s="181"/>
      <c r="X32" s="181"/>
      <c r="Y32" s="181"/>
      <c r="Z32" s="181"/>
      <c r="AA32" s="181"/>
      <c r="AB32" s="181"/>
    </row>
    <row r="33" spans="1:28" ht="90">
      <c r="A33" s="3"/>
      <c r="B33" s="3"/>
      <c r="C33" s="3" t="s">
        <v>419</v>
      </c>
      <c r="D33" s="3"/>
      <c r="E33" s="53">
        <v>45984</v>
      </c>
      <c r="F33" s="45"/>
      <c r="G33" s="45"/>
      <c r="H33" s="45"/>
      <c r="I33" s="96" t="s">
        <v>420</v>
      </c>
      <c r="J33" s="3"/>
      <c r="K33" s="3">
        <v>30</v>
      </c>
      <c r="L33" s="338">
        <v>6.069</v>
      </c>
      <c r="M33" s="338">
        <v>7.6020000000000003</v>
      </c>
      <c r="N33" s="3"/>
      <c r="O33" s="3"/>
      <c r="P33" s="350">
        <v>46009</v>
      </c>
      <c r="Q33" s="96" t="s">
        <v>420</v>
      </c>
      <c r="R33" s="338">
        <v>6.8639999999999999</v>
      </c>
      <c r="S33" s="338">
        <v>7.9969999999999999</v>
      </c>
      <c r="T33" s="357" t="s">
        <v>421</v>
      </c>
      <c r="U33" s="181"/>
      <c r="V33" s="181"/>
      <c r="W33" s="181"/>
      <c r="X33" s="181"/>
      <c r="Y33" s="181"/>
      <c r="Z33" s="181"/>
      <c r="AA33" s="181"/>
      <c r="AB33" s="181"/>
    </row>
    <row r="34" spans="1:28">
      <c r="A34" s="3"/>
      <c r="B34" s="3"/>
      <c r="C34" s="3" t="s">
        <v>422</v>
      </c>
      <c r="D34" s="3"/>
      <c r="E34" s="53">
        <v>45984</v>
      </c>
      <c r="F34" s="45"/>
      <c r="G34" s="45"/>
      <c r="H34" s="45"/>
      <c r="I34" s="45" t="s">
        <v>98</v>
      </c>
      <c r="J34" s="3"/>
      <c r="K34" s="3">
        <v>30</v>
      </c>
      <c r="L34" s="157">
        <v>1.514</v>
      </c>
      <c r="M34" s="157">
        <v>1.667</v>
      </c>
      <c r="N34" s="3"/>
      <c r="O34" s="3"/>
      <c r="P34" s="350">
        <v>46009</v>
      </c>
      <c r="Q34" s="45" t="s">
        <v>98</v>
      </c>
      <c r="R34" s="157">
        <v>1.806</v>
      </c>
      <c r="S34" s="157">
        <v>1.948</v>
      </c>
      <c r="T34"/>
      <c r="U34" s="181"/>
      <c r="V34" s="181"/>
      <c r="W34" s="181"/>
      <c r="X34" s="181"/>
      <c r="Y34" s="181"/>
      <c r="Z34" s="181"/>
      <c r="AA34" s="181"/>
      <c r="AB34" s="181"/>
    </row>
    <row r="35" spans="1:28">
      <c r="A35" s="3"/>
      <c r="B35" s="3"/>
      <c r="C35" s="3" t="s">
        <v>423</v>
      </c>
      <c r="D35" s="3"/>
      <c r="E35" s="53">
        <v>45984</v>
      </c>
      <c r="F35" s="45"/>
      <c r="G35" s="45"/>
      <c r="H35" s="45"/>
      <c r="I35" s="45" t="s">
        <v>98</v>
      </c>
      <c r="J35" s="3"/>
      <c r="K35" s="3">
        <v>30</v>
      </c>
      <c r="L35" s="157">
        <v>0.434</v>
      </c>
      <c r="M35" s="157">
        <v>0.48199999999999998</v>
      </c>
      <c r="N35" s="3"/>
      <c r="O35" s="3"/>
      <c r="P35" s="350">
        <v>46009</v>
      </c>
      <c r="Q35" s="45" t="s">
        <v>98</v>
      </c>
      <c r="R35" s="157">
        <v>0.60399999999999998</v>
      </c>
      <c r="S35" s="157">
        <v>0.72599999999999998</v>
      </c>
      <c r="T35"/>
      <c r="U35" s="181"/>
      <c r="V35" s="181"/>
      <c r="W35" s="181"/>
      <c r="X35" s="181"/>
      <c r="Y35" s="181"/>
      <c r="Z35" s="181"/>
      <c r="AA35" s="181"/>
      <c r="AB35" s="181"/>
    </row>
    <row r="36" spans="1:28">
      <c r="A36" s="3"/>
      <c r="B36" s="3"/>
      <c r="C36" s="3" t="s">
        <v>424</v>
      </c>
      <c r="D36" s="3"/>
      <c r="E36" s="53">
        <v>45984</v>
      </c>
      <c r="F36" s="45"/>
      <c r="G36" s="45"/>
      <c r="H36" s="45"/>
      <c r="I36" s="45" t="s">
        <v>98</v>
      </c>
      <c r="J36" s="3"/>
      <c r="K36" s="3">
        <v>30</v>
      </c>
      <c r="L36" s="157">
        <v>2.0630000000000002</v>
      </c>
      <c r="M36" s="157">
        <v>2.2250000000000001</v>
      </c>
      <c r="N36" s="3"/>
      <c r="O36" s="3"/>
      <c r="P36" s="350">
        <v>46009</v>
      </c>
      <c r="Q36" s="45" t="s">
        <v>98</v>
      </c>
      <c r="R36" s="157">
        <v>2.4950000000000001</v>
      </c>
      <c r="S36" s="157">
        <v>2.746</v>
      </c>
      <c r="T36"/>
      <c r="U36" s="181"/>
      <c r="V36" s="181"/>
      <c r="W36" s="181"/>
      <c r="X36" s="181"/>
      <c r="Y36" s="181"/>
      <c r="Z36" s="181"/>
      <c r="AA36" s="181"/>
      <c r="AB36" s="181"/>
    </row>
    <row r="37" spans="1:28">
      <c r="A37" s="3"/>
      <c r="B37" s="3"/>
      <c r="C37" s="3" t="s">
        <v>425</v>
      </c>
      <c r="D37" s="3"/>
      <c r="E37" s="53">
        <v>45984</v>
      </c>
      <c r="F37" s="45"/>
      <c r="G37" s="45"/>
      <c r="H37" s="45"/>
      <c r="I37" s="96" t="s">
        <v>426</v>
      </c>
      <c r="J37" s="3"/>
      <c r="K37" s="3">
        <v>30</v>
      </c>
      <c r="L37" s="338">
        <v>7.1879999999999997</v>
      </c>
      <c r="M37" s="338">
        <v>8.2799999999999994</v>
      </c>
      <c r="N37" s="3"/>
      <c r="O37" s="3"/>
      <c r="P37" s="350">
        <v>46009</v>
      </c>
      <c r="Q37" s="96" t="s">
        <v>420</v>
      </c>
      <c r="R37" s="338">
        <v>10.237</v>
      </c>
      <c r="S37" s="338">
        <v>10.128</v>
      </c>
      <c r="T37" s="147" t="s">
        <v>427</v>
      </c>
      <c r="U37" s="181"/>
      <c r="V37" s="181"/>
      <c r="W37" s="181"/>
      <c r="X37" s="181"/>
      <c r="Y37" s="181"/>
      <c r="Z37" s="181"/>
      <c r="AA37" s="181"/>
      <c r="AB37" s="181"/>
    </row>
    <row r="38" spans="1:28">
      <c r="A38" s="3"/>
      <c r="B38" s="3"/>
      <c r="C38" s="3" t="s">
        <v>428</v>
      </c>
      <c r="D38" s="3"/>
      <c r="E38" s="53">
        <v>45984</v>
      </c>
      <c r="F38" s="45"/>
      <c r="G38" s="45"/>
      <c r="H38" s="45"/>
      <c r="I38" s="45" t="s">
        <v>98</v>
      </c>
      <c r="J38" s="3"/>
      <c r="K38" s="3">
        <v>30</v>
      </c>
      <c r="L38" s="157">
        <v>0.54</v>
      </c>
      <c r="M38" s="157">
        <v>2.1829999999999998</v>
      </c>
      <c r="N38" s="3"/>
      <c r="O38" s="3"/>
      <c r="P38" s="350">
        <v>46009</v>
      </c>
      <c r="Q38" s="45" t="s">
        <v>98</v>
      </c>
      <c r="R38" s="157">
        <v>0.41299999999999998</v>
      </c>
      <c r="S38" s="157">
        <v>0.29099999999999998</v>
      </c>
      <c r="T38"/>
      <c r="U38" s="181"/>
      <c r="V38" s="181"/>
      <c r="W38" s="181"/>
      <c r="X38" s="181"/>
      <c r="Y38" s="181"/>
      <c r="Z38" s="181"/>
      <c r="AA38" s="181"/>
      <c r="AB38" s="181"/>
    </row>
    <row r="39" spans="1:28">
      <c r="A39" s="3"/>
      <c r="B39" s="3"/>
      <c r="C39" s="3" t="s">
        <v>429</v>
      </c>
      <c r="D39" s="3"/>
      <c r="E39" s="53">
        <v>45984</v>
      </c>
      <c r="F39" s="45"/>
      <c r="G39" s="45"/>
      <c r="H39" s="45"/>
      <c r="I39" s="96" t="s">
        <v>426</v>
      </c>
      <c r="J39" s="3"/>
      <c r="K39" s="3">
        <v>30</v>
      </c>
      <c r="L39" s="338">
        <v>8.7739999999999991</v>
      </c>
      <c r="M39" s="338">
        <v>11.143000000000001</v>
      </c>
      <c r="N39" s="3"/>
      <c r="O39" s="3"/>
      <c r="P39" s="350">
        <v>46009</v>
      </c>
      <c r="Q39" s="96" t="s">
        <v>420</v>
      </c>
      <c r="R39" s="338">
        <v>14.377000000000001</v>
      </c>
      <c r="S39" s="338">
        <v>19.393000000000001</v>
      </c>
      <c r="T39" s="147" t="s">
        <v>427</v>
      </c>
      <c r="U39" s="181"/>
      <c r="V39" s="181"/>
      <c r="W39" s="181"/>
      <c r="X39" s="181"/>
      <c r="Y39" s="181"/>
      <c r="Z39" s="181"/>
      <c r="AA39" s="181"/>
      <c r="AB39" s="181"/>
    </row>
    <row r="40" spans="1:28">
      <c r="A40" s="3"/>
      <c r="B40" s="6"/>
      <c r="C40" s="3"/>
      <c r="D40" s="3"/>
      <c r="E40" s="45"/>
      <c r="F40" s="45"/>
      <c r="G40" s="45"/>
      <c r="H40" s="45"/>
      <c r="I40" s="45"/>
      <c r="J40" s="3"/>
      <c r="K40" s="3"/>
      <c r="L40" s="3"/>
      <c r="M40" s="3"/>
      <c r="N40" s="3"/>
      <c r="O40" s="3"/>
      <c r="P40" s="25"/>
      <c r="Q40"/>
      <c r="R40" s="3"/>
      <c r="S40" s="3"/>
      <c r="T40"/>
      <c r="U40" s="181"/>
      <c r="V40" s="181"/>
      <c r="W40" s="181"/>
      <c r="X40" s="181"/>
      <c r="Y40" s="181"/>
      <c r="Z40" s="181"/>
      <c r="AA40" s="181"/>
      <c r="AB40" s="181"/>
    </row>
    <row r="41" spans="1:28">
      <c r="A41" s="3" t="s">
        <v>414</v>
      </c>
      <c r="B41" s="3" t="s">
        <v>430</v>
      </c>
      <c r="C41" s="3" t="s">
        <v>431</v>
      </c>
      <c r="D41" s="3"/>
      <c r="E41" s="53">
        <v>45984</v>
      </c>
      <c r="F41" s="45"/>
      <c r="G41" s="45"/>
      <c r="H41" s="45"/>
      <c r="I41" s="45" t="s">
        <v>98</v>
      </c>
      <c r="J41" s="3"/>
      <c r="K41" s="3">
        <v>100</v>
      </c>
      <c r="L41" s="157">
        <v>0.69099999999999995</v>
      </c>
      <c r="M41" s="157">
        <v>0.52</v>
      </c>
      <c r="N41" s="3"/>
      <c r="O41" s="3"/>
      <c r="P41" s="350">
        <v>46009</v>
      </c>
      <c r="Q41" s="45" t="s">
        <v>98</v>
      </c>
      <c r="R41" s="157">
        <v>0.57399999999999995</v>
      </c>
      <c r="S41" s="157">
        <v>0.64400000000000002</v>
      </c>
      <c r="T41"/>
      <c r="U41" s="181"/>
      <c r="V41" s="181"/>
      <c r="W41" s="181"/>
      <c r="X41" s="181"/>
      <c r="Y41" s="181"/>
      <c r="Z41" s="181"/>
      <c r="AA41" s="181"/>
      <c r="AB41" s="181"/>
    </row>
    <row r="42" spans="1:28">
      <c r="A42" s="3"/>
      <c r="B42" s="3"/>
      <c r="C42" s="3" t="s">
        <v>417</v>
      </c>
      <c r="D42" s="3"/>
      <c r="E42" s="53">
        <v>45984</v>
      </c>
      <c r="F42" s="45"/>
      <c r="G42" s="45"/>
      <c r="H42" s="45"/>
      <c r="I42" s="45" t="s">
        <v>98</v>
      </c>
      <c r="J42" s="3"/>
      <c r="K42" s="3">
        <v>100</v>
      </c>
      <c r="L42" s="157">
        <v>0.49299999999999999</v>
      </c>
      <c r="M42" s="157">
        <v>0.46100000000000002</v>
      </c>
      <c r="N42" s="3"/>
      <c r="O42" s="3"/>
      <c r="P42" s="350">
        <v>46009</v>
      </c>
      <c r="Q42" s="45" t="s">
        <v>98</v>
      </c>
      <c r="R42" s="157">
        <v>0.76600000000000001</v>
      </c>
      <c r="S42" s="157">
        <v>0.64300000000000002</v>
      </c>
      <c r="T42"/>
      <c r="U42" s="181"/>
      <c r="V42" s="181"/>
      <c r="W42" s="181"/>
      <c r="X42" s="181"/>
      <c r="Y42" s="181"/>
      <c r="Z42" s="181"/>
      <c r="AA42" s="181"/>
      <c r="AB42" s="181"/>
    </row>
    <row r="43" spans="1:28">
      <c r="A43" s="3"/>
      <c r="B43" s="3"/>
      <c r="C43" s="3" t="s">
        <v>432</v>
      </c>
      <c r="D43" s="3"/>
      <c r="E43" s="53">
        <v>45984</v>
      </c>
      <c r="F43" s="45"/>
      <c r="G43" s="45"/>
      <c r="H43" s="45"/>
      <c r="I43" s="45" t="s">
        <v>98</v>
      </c>
      <c r="J43" s="3"/>
      <c r="K43" s="3">
        <v>100</v>
      </c>
      <c r="L43" s="157">
        <v>1.123</v>
      </c>
      <c r="M43" s="157">
        <v>1.2549999999999999</v>
      </c>
      <c r="N43" s="3"/>
      <c r="O43" s="3"/>
      <c r="P43" s="350">
        <v>46009</v>
      </c>
      <c r="Q43" s="45" t="s">
        <v>98</v>
      </c>
      <c r="R43" s="157">
        <v>1.4119999999999999</v>
      </c>
      <c r="S43" s="157">
        <v>1.6160000000000001</v>
      </c>
      <c r="T43"/>
      <c r="U43" s="181"/>
      <c r="V43" s="181"/>
      <c r="W43" s="181"/>
      <c r="X43" s="181"/>
      <c r="Y43" s="181"/>
      <c r="Z43" s="181"/>
      <c r="AA43" s="181"/>
      <c r="AB43" s="181"/>
    </row>
    <row r="44" spans="1:28">
      <c r="A44" s="3"/>
      <c r="B44" s="3"/>
      <c r="C44" s="3" t="s">
        <v>433</v>
      </c>
      <c r="D44" s="3"/>
      <c r="E44" s="53">
        <v>45984</v>
      </c>
      <c r="F44" s="45"/>
      <c r="G44" s="45"/>
      <c r="H44" s="45"/>
      <c r="I44" s="45" t="s">
        <v>98</v>
      </c>
      <c r="J44" s="3"/>
      <c r="K44" s="3">
        <v>100</v>
      </c>
      <c r="L44" s="157">
        <v>0.88</v>
      </c>
      <c r="M44" s="157">
        <v>1.0820000000000001</v>
      </c>
      <c r="N44" s="3"/>
      <c r="O44" s="3"/>
      <c r="P44" s="350">
        <v>46009</v>
      </c>
      <c r="Q44" s="45" t="s">
        <v>98</v>
      </c>
      <c r="R44" s="157">
        <v>1.1879999999999999</v>
      </c>
      <c r="S44" s="157">
        <v>1.325</v>
      </c>
      <c r="T44"/>
      <c r="U44" s="181"/>
      <c r="V44" s="181"/>
      <c r="W44" s="181"/>
      <c r="X44" s="181"/>
      <c r="Y44" s="181"/>
      <c r="Z44" s="181"/>
      <c r="AA44" s="181"/>
      <c r="AB44" s="181"/>
    </row>
    <row r="45" spans="1:28">
      <c r="A45" s="3"/>
      <c r="B45" s="3"/>
      <c r="C45" s="3" t="s">
        <v>434</v>
      </c>
      <c r="D45" s="3"/>
      <c r="E45" s="53">
        <v>45984</v>
      </c>
      <c r="F45" s="45"/>
      <c r="G45" s="45"/>
      <c r="H45" s="45"/>
      <c r="I45" s="45" t="s">
        <v>98</v>
      </c>
      <c r="J45" s="3"/>
      <c r="K45" s="3">
        <v>100</v>
      </c>
      <c r="L45" s="157">
        <v>0.64900000000000002</v>
      </c>
      <c r="M45" s="157">
        <v>0.98299999999999998</v>
      </c>
      <c r="N45" s="3"/>
      <c r="O45" s="3"/>
      <c r="P45" s="350">
        <v>46009</v>
      </c>
      <c r="Q45" s="45" t="s">
        <v>98</v>
      </c>
      <c r="R45" s="157">
        <v>1.0900000000000001</v>
      </c>
      <c r="S45" s="157">
        <v>1.2869999999999999</v>
      </c>
      <c r="T45"/>
      <c r="U45" s="181"/>
      <c r="V45" s="181"/>
      <c r="W45" s="181"/>
      <c r="X45" s="181"/>
      <c r="Y45" s="181"/>
      <c r="Z45" s="181"/>
      <c r="AA45" s="181"/>
      <c r="AB45" s="181"/>
    </row>
    <row r="46" spans="1:28">
      <c r="A46" s="3"/>
      <c r="B46" s="3"/>
      <c r="C46" s="3" t="s">
        <v>435</v>
      </c>
      <c r="D46" s="3"/>
      <c r="E46" s="53">
        <v>45984</v>
      </c>
      <c r="F46" s="45"/>
      <c r="G46" s="45"/>
      <c r="H46" s="45"/>
      <c r="I46" s="45" t="s">
        <v>98</v>
      </c>
      <c r="J46" s="3"/>
      <c r="K46" s="3">
        <v>100</v>
      </c>
      <c r="L46" s="157">
        <v>1.4670000000000001</v>
      </c>
      <c r="M46" s="157">
        <v>1.6180000000000001</v>
      </c>
      <c r="N46" s="3"/>
      <c r="O46" s="3"/>
      <c r="P46" s="350">
        <v>46009</v>
      </c>
      <c r="Q46" s="45" t="s">
        <v>98</v>
      </c>
      <c r="R46" s="157">
        <v>2.02</v>
      </c>
      <c r="S46" s="157">
        <v>2.1589999999999998</v>
      </c>
      <c r="T46"/>
      <c r="U46" s="181"/>
      <c r="V46" s="181"/>
      <c r="W46" s="181"/>
      <c r="X46" s="181"/>
      <c r="Y46" s="181"/>
      <c r="Z46" s="181"/>
      <c r="AA46" s="181"/>
      <c r="AB46" s="181"/>
    </row>
    <row r="47" spans="1:28">
      <c r="A47" s="3"/>
      <c r="B47" s="3"/>
      <c r="C47" s="3" t="s">
        <v>436</v>
      </c>
      <c r="D47" s="3"/>
      <c r="E47" s="53">
        <v>45984</v>
      </c>
      <c r="F47" s="45"/>
      <c r="G47" s="45"/>
      <c r="H47" s="45"/>
      <c r="I47" s="45" t="s">
        <v>98</v>
      </c>
      <c r="J47" s="3"/>
      <c r="K47" s="3">
        <v>100</v>
      </c>
      <c r="L47" s="157">
        <v>0.12</v>
      </c>
      <c r="M47" s="157">
        <v>0.107</v>
      </c>
      <c r="N47" s="3"/>
      <c r="O47" s="3"/>
      <c r="P47" s="350">
        <v>46009</v>
      </c>
      <c r="Q47" s="45" t="s">
        <v>98</v>
      </c>
      <c r="R47" s="157">
        <v>0.15</v>
      </c>
      <c r="S47" s="157">
        <v>0.187</v>
      </c>
      <c r="T47"/>
      <c r="U47" s="181"/>
      <c r="V47" s="181"/>
      <c r="W47" s="181"/>
      <c r="X47" s="181"/>
      <c r="Y47" s="181"/>
      <c r="Z47" s="181"/>
      <c r="AA47" s="181"/>
      <c r="AB47" s="181"/>
    </row>
    <row r="48" spans="1:28">
      <c r="A48" s="3"/>
      <c r="B48" s="3"/>
      <c r="C48" s="3" t="s">
        <v>437</v>
      </c>
      <c r="D48" s="3"/>
      <c r="E48" s="53">
        <v>45984</v>
      </c>
      <c r="F48" s="45"/>
      <c r="G48" s="45"/>
      <c r="H48" s="45"/>
      <c r="I48" s="45" t="s">
        <v>98</v>
      </c>
      <c r="J48" s="3"/>
      <c r="K48" s="3">
        <v>100</v>
      </c>
      <c r="L48" s="157">
        <v>1.0349999999999999</v>
      </c>
      <c r="M48" s="157">
        <v>1.1950000000000001</v>
      </c>
      <c r="N48" s="3"/>
      <c r="O48" s="3"/>
      <c r="P48" s="350">
        <v>46009</v>
      </c>
      <c r="Q48" s="45" t="s">
        <v>98</v>
      </c>
      <c r="R48" s="157">
        <v>1.667</v>
      </c>
      <c r="S48" s="157">
        <v>1.5</v>
      </c>
      <c r="T48"/>
      <c r="U48" s="181"/>
      <c r="V48" s="181"/>
      <c r="W48" s="181"/>
      <c r="X48" s="181"/>
      <c r="Y48" s="181"/>
      <c r="Z48" s="181"/>
      <c r="AA48" s="181"/>
      <c r="AB48" s="181"/>
    </row>
    <row r="49" spans="1:28">
      <c r="A49" s="3"/>
      <c r="B49" s="6"/>
      <c r="C49" s="3"/>
      <c r="D49" s="3"/>
      <c r="E49" s="45"/>
      <c r="F49" s="45"/>
      <c r="G49" s="45"/>
      <c r="H49" s="45"/>
      <c r="I49" s="45"/>
      <c r="J49" s="3"/>
      <c r="K49" s="3"/>
      <c r="L49" s="3"/>
      <c r="M49" s="3"/>
      <c r="N49" s="3"/>
      <c r="O49" s="3"/>
      <c r="P49" s="25"/>
      <c r="Q49"/>
      <c r="R49" s="3"/>
      <c r="S49" s="3"/>
      <c r="T49"/>
      <c r="U49" s="181"/>
      <c r="V49" s="181"/>
      <c r="W49" s="181"/>
      <c r="X49" s="181"/>
      <c r="Y49" s="181"/>
      <c r="Z49" s="181"/>
      <c r="AA49" s="181"/>
      <c r="AB49" s="181"/>
    </row>
    <row r="50" spans="1:28">
      <c r="A50" s="3" t="s">
        <v>414</v>
      </c>
      <c r="B50" s="3" t="s">
        <v>438</v>
      </c>
      <c r="C50" s="3" t="s">
        <v>431</v>
      </c>
      <c r="D50" s="3"/>
      <c r="E50" s="53">
        <v>45984</v>
      </c>
      <c r="F50" s="45"/>
      <c r="G50" s="45"/>
      <c r="H50" s="45"/>
      <c r="I50" s="45" t="s">
        <v>98</v>
      </c>
      <c r="J50" s="3"/>
      <c r="K50" s="3">
        <v>300</v>
      </c>
      <c r="L50" s="157">
        <v>0.61299999999999999</v>
      </c>
      <c r="M50" s="157">
        <v>0.52500000000000002</v>
      </c>
      <c r="N50" s="3"/>
      <c r="O50" s="3"/>
      <c r="P50" s="350">
        <v>46009</v>
      </c>
      <c r="Q50" s="45" t="s">
        <v>98</v>
      </c>
      <c r="R50" s="157">
        <v>0.54900000000000004</v>
      </c>
      <c r="S50" s="157">
        <v>0.69099999999999995</v>
      </c>
      <c r="T50"/>
      <c r="U50" s="181"/>
      <c r="V50" s="181"/>
      <c r="W50" s="181"/>
      <c r="X50" s="181"/>
      <c r="Y50" s="181"/>
      <c r="Z50" s="181"/>
      <c r="AA50" s="181"/>
      <c r="AB50" s="181"/>
    </row>
    <row r="51" spans="1:28">
      <c r="A51" s="3"/>
      <c r="B51" s="3"/>
      <c r="C51" s="3" t="s">
        <v>417</v>
      </c>
      <c r="D51" s="3"/>
      <c r="E51" s="53">
        <v>45984</v>
      </c>
      <c r="F51" s="45"/>
      <c r="G51" s="45"/>
      <c r="H51" s="45"/>
      <c r="I51" s="45" t="s">
        <v>98</v>
      </c>
      <c r="J51" s="3"/>
      <c r="K51" s="3">
        <v>300</v>
      </c>
      <c r="L51" s="157">
        <v>0.52300000000000002</v>
      </c>
      <c r="M51" s="157">
        <v>0.51100000000000001</v>
      </c>
      <c r="N51" s="3"/>
      <c r="O51" s="3"/>
      <c r="P51" s="350">
        <v>46009</v>
      </c>
      <c r="Q51" s="45" t="s">
        <v>98</v>
      </c>
      <c r="R51" s="157">
        <v>0.59099999999999997</v>
      </c>
      <c r="S51" s="157">
        <v>0.68400000000000005</v>
      </c>
      <c r="T51"/>
      <c r="U51" s="181"/>
      <c r="V51" s="181"/>
      <c r="W51" s="181"/>
      <c r="X51" s="181"/>
      <c r="Y51" s="181"/>
      <c r="Z51" s="181"/>
      <c r="AA51" s="181"/>
      <c r="AB51" s="181"/>
    </row>
    <row r="52" spans="1:28">
      <c r="A52" s="3"/>
      <c r="B52" s="3"/>
      <c r="C52" s="3" t="s">
        <v>439</v>
      </c>
      <c r="D52" s="3"/>
      <c r="E52" s="53">
        <v>45984</v>
      </c>
      <c r="F52" s="45"/>
      <c r="G52" s="45"/>
      <c r="H52" s="45"/>
      <c r="I52" s="45" t="s">
        <v>98</v>
      </c>
      <c r="J52" s="3"/>
      <c r="K52" s="3">
        <v>300</v>
      </c>
      <c r="L52" s="157">
        <v>1.1839999999999999</v>
      </c>
      <c r="M52" s="157">
        <v>1.369</v>
      </c>
      <c r="N52" s="3"/>
      <c r="O52" s="3"/>
      <c r="P52" s="350">
        <v>46009</v>
      </c>
      <c r="Q52" s="45" t="s">
        <v>98</v>
      </c>
      <c r="R52" s="157">
        <v>1.5409999999999999</v>
      </c>
      <c r="S52" s="157">
        <v>1.7030000000000001</v>
      </c>
      <c r="T52"/>
      <c r="U52" s="181"/>
      <c r="V52" s="181"/>
      <c r="W52" s="181"/>
      <c r="X52" s="181"/>
      <c r="Y52" s="181"/>
      <c r="Z52" s="181"/>
      <c r="AA52" s="181"/>
      <c r="AB52" s="181"/>
    </row>
    <row r="53" spans="1:28">
      <c r="A53" s="3"/>
      <c r="B53" s="3"/>
      <c r="C53" s="3" t="s">
        <v>440</v>
      </c>
      <c r="D53" s="3"/>
      <c r="E53" s="53">
        <v>45984</v>
      </c>
      <c r="F53" s="45"/>
      <c r="G53" s="45"/>
      <c r="H53" s="45"/>
      <c r="I53" s="45" t="s">
        <v>98</v>
      </c>
      <c r="J53" s="3"/>
      <c r="K53" s="3">
        <v>300</v>
      </c>
      <c r="L53" s="157">
        <v>0.82299999999999995</v>
      </c>
      <c r="M53" s="157">
        <v>0.96199999999999997</v>
      </c>
      <c r="N53" s="3"/>
      <c r="O53" s="3"/>
      <c r="P53" s="350">
        <v>46009</v>
      </c>
      <c r="Q53" s="45" t="s">
        <v>98</v>
      </c>
      <c r="R53" s="157">
        <v>0.98799999999999999</v>
      </c>
      <c r="S53" s="157">
        <v>1.157</v>
      </c>
      <c r="T53"/>
      <c r="U53" s="181"/>
      <c r="V53" s="181"/>
      <c r="W53" s="181"/>
      <c r="X53" s="181"/>
      <c r="Y53" s="181"/>
      <c r="Z53" s="181"/>
      <c r="AA53" s="181"/>
      <c r="AB53" s="181"/>
    </row>
    <row r="54" spans="1:28">
      <c r="A54" s="3"/>
      <c r="B54" s="3"/>
      <c r="C54" s="3" t="s">
        <v>441</v>
      </c>
      <c r="D54" s="3"/>
      <c r="E54" s="53">
        <v>45984</v>
      </c>
      <c r="F54" s="45"/>
      <c r="G54" s="45"/>
      <c r="H54" s="45"/>
      <c r="I54" s="45" t="s">
        <v>98</v>
      </c>
      <c r="J54" s="3"/>
      <c r="K54" s="3">
        <v>300</v>
      </c>
      <c r="L54" s="157">
        <v>0.34899999999999998</v>
      </c>
      <c r="M54" s="157">
        <v>0.40500000000000003</v>
      </c>
      <c r="N54" s="3"/>
      <c r="O54" s="3"/>
      <c r="P54" s="350">
        <v>46009</v>
      </c>
      <c r="Q54" s="45" t="s">
        <v>98</v>
      </c>
      <c r="R54" s="157">
        <v>0.49199999999999999</v>
      </c>
      <c r="S54" s="157">
        <v>0.53800000000000003</v>
      </c>
      <c r="T54"/>
      <c r="U54" s="181"/>
      <c r="V54" s="181"/>
      <c r="W54" s="181"/>
      <c r="X54" s="181"/>
      <c r="Y54" s="181"/>
      <c r="Z54" s="181"/>
      <c r="AA54" s="181"/>
      <c r="AB54" s="181"/>
    </row>
    <row r="55" spans="1:28">
      <c r="A55" s="3"/>
      <c r="B55" s="3"/>
      <c r="C55" s="3" t="s">
        <v>442</v>
      </c>
      <c r="D55" s="3"/>
      <c r="E55" s="53">
        <v>45984</v>
      </c>
      <c r="F55" s="45"/>
      <c r="G55" s="45"/>
      <c r="H55" s="45"/>
      <c r="I55" s="45" t="s">
        <v>98</v>
      </c>
      <c r="J55" s="3"/>
      <c r="K55" s="3">
        <v>300</v>
      </c>
      <c r="L55" s="157">
        <v>0.45300000000000001</v>
      </c>
      <c r="M55" s="157">
        <v>0.54800000000000004</v>
      </c>
      <c r="N55" s="3"/>
      <c r="O55" s="3"/>
      <c r="P55" s="350">
        <v>46009</v>
      </c>
      <c r="Q55" s="45" t="s">
        <v>98</v>
      </c>
      <c r="R55" s="157">
        <v>0.58199999999999996</v>
      </c>
      <c r="S55" s="157">
        <v>0.7</v>
      </c>
      <c r="T55"/>
      <c r="U55" s="181"/>
      <c r="V55" s="181"/>
      <c r="W55" s="181"/>
      <c r="X55" s="181"/>
      <c r="Y55" s="181"/>
      <c r="Z55" s="181"/>
      <c r="AA55" s="181"/>
      <c r="AB55" s="181"/>
    </row>
    <row r="56" spans="1:28">
      <c r="A56" s="3"/>
      <c r="B56" s="3"/>
      <c r="C56" s="3" t="s">
        <v>443</v>
      </c>
      <c r="D56" s="3"/>
      <c r="E56" s="53">
        <v>45984</v>
      </c>
      <c r="F56" s="45"/>
      <c r="G56" s="45"/>
      <c r="H56" s="45"/>
      <c r="I56" s="45" t="s">
        <v>98</v>
      </c>
      <c r="J56" s="3"/>
      <c r="K56" s="3">
        <v>300</v>
      </c>
      <c r="L56" s="157">
        <v>0.48499999999999999</v>
      </c>
      <c r="M56" s="157">
        <v>0.59599999999999997</v>
      </c>
      <c r="N56" s="3"/>
      <c r="O56" s="3"/>
      <c r="P56" s="350">
        <v>46009</v>
      </c>
      <c r="Q56" s="45" t="s">
        <v>98</v>
      </c>
      <c r="R56" s="157">
        <v>0.58599999999999997</v>
      </c>
      <c r="S56" s="157">
        <v>0.72199999999999998</v>
      </c>
      <c r="T56"/>
      <c r="U56" s="181"/>
      <c r="V56" s="181"/>
      <c r="W56" s="181"/>
      <c r="X56" s="181"/>
      <c r="Y56" s="181"/>
      <c r="Z56" s="181"/>
      <c r="AA56" s="181"/>
      <c r="AB56" s="181"/>
    </row>
    <row r="57" spans="1:28">
      <c r="A57" s="3"/>
      <c r="B57" s="3"/>
      <c r="C57" s="3" t="s">
        <v>444</v>
      </c>
      <c r="D57" s="3"/>
      <c r="E57" s="53">
        <v>45984</v>
      </c>
      <c r="F57" s="45"/>
      <c r="G57" s="45"/>
      <c r="H57" s="45"/>
      <c r="I57" s="45" t="s">
        <v>98</v>
      </c>
      <c r="J57" s="3"/>
      <c r="K57" s="3">
        <v>300</v>
      </c>
      <c r="L57" s="157">
        <v>0.502</v>
      </c>
      <c r="M57" s="157">
        <v>0.63400000000000001</v>
      </c>
      <c r="N57" s="3"/>
      <c r="O57" s="3"/>
      <c r="P57" s="350">
        <v>46009</v>
      </c>
      <c r="Q57" s="45" t="s">
        <v>98</v>
      </c>
      <c r="R57" s="157">
        <v>0.55100000000000005</v>
      </c>
      <c r="S57" s="157">
        <v>0.67800000000000005</v>
      </c>
      <c r="T57"/>
      <c r="U57" s="181"/>
      <c r="V57" s="181"/>
      <c r="W57" s="181"/>
      <c r="X57" s="181"/>
      <c r="Y57" s="181"/>
      <c r="Z57" s="181"/>
      <c r="AA57" s="181"/>
      <c r="AB57" s="181"/>
    </row>
    <row r="58" spans="1:28">
      <c r="A58" s="3"/>
      <c r="B58" s="6"/>
      <c r="C58" s="3"/>
      <c r="D58" s="3"/>
      <c r="E58" s="45"/>
      <c r="F58" s="45"/>
      <c r="G58" s="45"/>
      <c r="H58" s="45"/>
      <c r="I58" s="45"/>
      <c r="J58" s="3"/>
      <c r="K58" s="3"/>
      <c r="L58" s="3"/>
      <c r="M58" s="3"/>
      <c r="N58" s="3"/>
      <c r="O58" s="3"/>
      <c r="P58" s="25"/>
      <c r="Q58"/>
      <c r="R58"/>
      <c r="S58"/>
      <c r="T58"/>
      <c r="U58" s="181"/>
      <c r="V58" s="181"/>
      <c r="W58" s="181"/>
      <c r="X58" s="181"/>
      <c r="Y58" s="181"/>
      <c r="Z58" s="181"/>
      <c r="AA58" s="181"/>
      <c r="AB58" s="181"/>
    </row>
    <row r="59" spans="1:28">
      <c r="A59" s="3" t="s">
        <v>414</v>
      </c>
      <c r="B59" s="3" t="s">
        <v>411</v>
      </c>
      <c r="C59" s="3" t="s">
        <v>445</v>
      </c>
      <c r="D59" s="3"/>
      <c r="E59" s="53">
        <v>45989</v>
      </c>
      <c r="F59" s="45"/>
      <c r="G59" s="45"/>
      <c r="H59" s="45"/>
      <c r="I59" s="45" t="s">
        <v>98</v>
      </c>
      <c r="J59" s="3"/>
      <c r="K59" s="3">
        <v>5000</v>
      </c>
      <c r="L59" s="157">
        <v>1.296</v>
      </c>
      <c r="M59" s="157">
        <v>1.5069999999999999</v>
      </c>
      <c r="N59" s="3"/>
      <c r="O59" s="3"/>
      <c r="P59" s="350">
        <v>46009</v>
      </c>
      <c r="Q59" s="45" t="s">
        <v>98</v>
      </c>
      <c r="R59" s="157">
        <v>1.3420000000000001</v>
      </c>
      <c r="S59" s="157">
        <v>1.5820000000000001</v>
      </c>
      <c r="T59"/>
      <c r="U59" s="181"/>
      <c r="V59" s="181"/>
      <c r="W59" s="181"/>
      <c r="X59" s="181"/>
      <c r="Y59" s="181"/>
      <c r="Z59" s="181"/>
      <c r="AA59" s="181"/>
      <c r="AB59" s="181"/>
    </row>
    <row r="60" spans="1:28">
      <c r="A60" s="3"/>
      <c r="B60" s="3" t="s">
        <v>411</v>
      </c>
      <c r="C60" s="3" t="s">
        <v>446</v>
      </c>
      <c r="D60" s="3"/>
      <c r="E60" s="53">
        <v>45989</v>
      </c>
      <c r="F60" s="45"/>
      <c r="G60" s="45"/>
      <c r="H60" s="45"/>
      <c r="I60" s="45" t="s">
        <v>98</v>
      </c>
      <c r="J60" s="3"/>
      <c r="K60" s="3">
        <v>5000</v>
      </c>
      <c r="L60" s="157">
        <v>0.64800000000000002</v>
      </c>
      <c r="M60" s="157">
        <v>0.99199999999999999</v>
      </c>
      <c r="N60" s="3"/>
      <c r="O60" s="3"/>
      <c r="P60" s="350">
        <v>46009</v>
      </c>
      <c r="Q60" s="45" t="s">
        <v>98</v>
      </c>
      <c r="R60" s="157">
        <v>1.056</v>
      </c>
      <c r="S60" s="157">
        <v>0.91900000000000004</v>
      </c>
      <c r="T60"/>
      <c r="U60" s="181"/>
      <c r="V60" s="181"/>
      <c r="W60" s="181"/>
      <c r="X60" s="181"/>
      <c r="Y60" s="181"/>
      <c r="Z60" s="181"/>
      <c r="AA60" s="181"/>
      <c r="AB60" s="181"/>
    </row>
    <row r="61" spans="1:28">
      <c r="A61" s="3"/>
      <c r="B61" s="3" t="s">
        <v>411</v>
      </c>
      <c r="C61" s="3" t="s">
        <v>438</v>
      </c>
      <c r="D61" s="3"/>
      <c r="E61" s="53">
        <v>45989</v>
      </c>
      <c r="F61" s="45"/>
      <c r="G61" s="45"/>
      <c r="H61" s="45"/>
      <c r="I61" s="45" t="s">
        <v>98</v>
      </c>
      <c r="J61" s="3"/>
      <c r="K61" s="3">
        <v>5000</v>
      </c>
      <c r="L61" s="157">
        <v>0.51100000000000001</v>
      </c>
      <c r="M61" s="157">
        <v>0.70099999999999996</v>
      </c>
      <c r="N61" s="3"/>
      <c r="O61" s="3"/>
      <c r="P61" s="350">
        <v>46009</v>
      </c>
      <c r="Q61" s="45" t="s">
        <v>98</v>
      </c>
      <c r="R61" s="157">
        <v>0.51</v>
      </c>
      <c r="S61" s="157">
        <v>0.69599999999999995</v>
      </c>
      <c r="T61"/>
      <c r="U61" s="181"/>
      <c r="V61" s="181"/>
      <c r="W61" s="181"/>
      <c r="X61" s="181"/>
      <c r="Y61" s="181"/>
      <c r="Z61" s="181"/>
      <c r="AA61" s="181"/>
      <c r="AB61" s="181"/>
    </row>
    <row r="62" spans="1:28">
      <c r="A62" s="3"/>
      <c r="B62" s="3" t="s">
        <v>411</v>
      </c>
      <c r="C62" s="3" t="s">
        <v>447</v>
      </c>
      <c r="D62" s="3"/>
      <c r="E62" s="53">
        <v>45989</v>
      </c>
      <c r="F62" s="45"/>
      <c r="G62" s="45"/>
      <c r="H62" s="45"/>
      <c r="I62" s="45" t="s">
        <v>98</v>
      </c>
      <c r="J62" s="3"/>
      <c r="K62" s="3">
        <v>30000</v>
      </c>
      <c r="L62" s="157">
        <v>0.372</v>
      </c>
      <c r="M62" s="157">
        <v>0.72599999999999998</v>
      </c>
      <c r="N62" s="3"/>
      <c r="O62" s="3"/>
      <c r="P62" s="350">
        <v>46009</v>
      </c>
      <c r="Q62" s="45" t="s">
        <v>98</v>
      </c>
      <c r="R62" s="157">
        <v>0.68899999999999995</v>
      </c>
      <c r="S62" s="157">
        <v>1.016</v>
      </c>
      <c r="T62"/>
      <c r="U62" s="181"/>
      <c r="V62" s="181"/>
      <c r="W62" s="181"/>
      <c r="X62" s="181"/>
      <c r="Y62" s="181"/>
      <c r="Z62" s="181"/>
      <c r="AA62" s="181"/>
      <c r="AB62" s="181"/>
    </row>
    <row r="63" spans="1:28">
      <c r="A63" s="3"/>
      <c r="B63" s="3" t="s">
        <v>411</v>
      </c>
      <c r="C63" s="3" t="s">
        <v>448</v>
      </c>
      <c r="D63" s="3"/>
      <c r="E63" s="53">
        <v>45989</v>
      </c>
      <c r="F63" s="45"/>
      <c r="G63" s="45"/>
      <c r="H63" s="45"/>
      <c r="I63" s="45" t="s">
        <v>98</v>
      </c>
      <c r="J63" s="3"/>
      <c r="K63" s="3">
        <v>5000</v>
      </c>
      <c r="L63" s="157">
        <v>1.498</v>
      </c>
      <c r="M63" s="157">
        <v>1.135</v>
      </c>
      <c r="N63" s="3"/>
      <c r="O63" s="3"/>
      <c r="P63" s="350">
        <v>46009</v>
      </c>
      <c r="Q63" s="45" t="s">
        <v>98</v>
      </c>
      <c r="R63" s="157">
        <v>3.0680000000000001</v>
      </c>
      <c r="S63" s="157">
        <v>1.853</v>
      </c>
      <c r="T63"/>
      <c r="U63" s="181"/>
      <c r="V63" s="181"/>
      <c r="W63" s="181"/>
      <c r="X63" s="181"/>
      <c r="Y63" s="181"/>
      <c r="Z63" s="181"/>
      <c r="AA63" s="181"/>
      <c r="AB63" s="181"/>
    </row>
    <row r="64" spans="1:28" s="5" customFormat="1" ht="45">
      <c r="A64" s="6"/>
      <c r="B64" s="6" t="s">
        <v>411</v>
      </c>
      <c r="C64" s="6" t="s">
        <v>449</v>
      </c>
      <c r="D64" s="6"/>
      <c r="E64" s="353">
        <v>45989</v>
      </c>
      <c r="F64" s="331"/>
      <c r="G64" s="331"/>
      <c r="H64" s="331"/>
      <c r="I64" s="331" t="s">
        <v>98</v>
      </c>
      <c r="J64" s="6"/>
      <c r="K64" s="6">
        <v>5000</v>
      </c>
      <c r="L64" s="354">
        <v>12.163</v>
      </c>
      <c r="M64" s="354">
        <v>13.009</v>
      </c>
      <c r="N64" s="6"/>
      <c r="O64" s="6"/>
      <c r="P64" s="355">
        <v>46009</v>
      </c>
      <c r="Q64" s="352" t="s">
        <v>98</v>
      </c>
      <c r="R64" s="356">
        <v>46.773000000000003</v>
      </c>
      <c r="S64" s="356">
        <v>52.179000000000002</v>
      </c>
      <c r="T64" s="357" t="s">
        <v>450</v>
      </c>
      <c r="U64" s="181"/>
      <c r="V64" s="181"/>
      <c r="W64" s="181"/>
      <c r="X64" s="181"/>
      <c r="Y64" s="181"/>
      <c r="Z64" s="181"/>
      <c r="AA64" s="181"/>
      <c r="AB64" s="181"/>
    </row>
    <row r="65" spans="1:21">
      <c r="A65" s="3"/>
      <c r="B65" s="6"/>
      <c r="C65" s="3"/>
      <c r="D65" s="3"/>
      <c r="E65" s="45"/>
      <c r="F65" s="45"/>
      <c r="G65" s="45"/>
      <c r="H65" s="45"/>
      <c r="I65" s="45"/>
      <c r="J65" s="3"/>
      <c r="K65" s="3"/>
      <c r="L65" s="3"/>
      <c r="M65" s="3"/>
      <c r="N65" s="3"/>
      <c r="O65" s="51"/>
      <c r="P65" s="3"/>
      <c r="Q65" s="3"/>
      <c r="R65" s="3"/>
      <c r="S65" s="3"/>
      <c r="T65" s="3"/>
      <c r="U65" s="334"/>
    </row>
    <row r="66" spans="1:21">
      <c r="A66" s="3"/>
      <c r="B66" s="6" t="s">
        <v>451</v>
      </c>
      <c r="C66" s="3" t="s">
        <v>452</v>
      </c>
      <c r="D66" s="3"/>
      <c r="E66" s="53">
        <v>45981</v>
      </c>
      <c r="F66" s="45"/>
      <c r="G66" s="45"/>
      <c r="H66" s="45"/>
      <c r="I66" s="45" t="s">
        <v>98</v>
      </c>
      <c r="J66" s="3"/>
      <c r="K66" s="3">
        <v>6000</v>
      </c>
      <c r="L66" s="3"/>
      <c r="M66" s="3"/>
      <c r="N66" s="3"/>
      <c r="O66" s="51"/>
      <c r="P66" s="3"/>
      <c r="Q66" s="3"/>
      <c r="R66" s="3"/>
      <c r="S66" s="3"/>
      <c r="T66" s="3"/>
      <c r="U66" s="334"/>
    </row>
    <row r="67" spans="1:21">
      <c r="A67" s="3"/>
      <c r="B67" s="6"/>
      <c r="C67" s="3" t="s">
        <v>453</v>
      </c>
      <c r="D67" s="3"/>
      <c r="E67" s="53">
        <v>45989</v>
      </c>
      <c r="F67" s="45"/>
      <c r="G67" s="45"/>
      <c r="H67" s="45"/>
      <c r="I67" s="45" t="s">
        <v>98</v>
      </c>
      <c r="J67" s="3"/>
      <c r="K67" s="3">
        <v>6000</v>
      </c>
      <c r="L67" s="3"/>
      <c r="M67" s="3"/>
      <c r="N67" s="3"/>
      <c r="O67" s="51"/>
      <c r="P67" s="3"/>
      <c r="Q67" s="3"/>
      <c r="R67" s="3"/>
      <c r="S67" s="3"/>
      <c r="T67" s="3"/>
      <c r="U67" s="334"/>
    </row>
    <row r="68" spans="1:21">
      <c r="A68" s="3"/>
      <c r="B68" s="6"/>
      <c r="C68" s="3" t="s">
        <v>454</v>
      </c>
      <c r="D68" s="3"/>
      <c r="E68" s="53">
        <v>46363</v>
      </c>
      <c r="F68" s="45"/>
      <c r="G68" s="45"/>
      <c r="H68" s="45"/>
      <c r="I68" s="196" t="s">
        <v>98</v>
      </c>
      <c r="J68" s="3"/>
      <c r="K68" s="3">
        <v>6000</v>
      </c>
      <c r="L68" s="3"/>
      <c r="M68" s="3"/>
      <c r="N68" s="3"/>
      <c r="O68" s="51"/>
      <c r="P68" s="3"/>
      <c r="Q68" s="3"/>
      <c r="R68" s="3"/>
      <c r="S68" s="3"/>
      <c r="T68" s="351" t="s">
        <v>455</v>
      </c>
      <c r="U68" s="334"/>
    </row>
    <row r="69" spans="1:21">
      <c r="C69" t="s">
        <v>456</v>
      </c>
      <c r="E69" s="53">
        <v>46363</v>
      </c>
      <c r="I69" s="196" t="s">
        <v>98</v>
      </c>
      <c r="K69" s="3">
        <v>6000</v>
      </c>
      <c r="Q69"/>
      <c r="R69"/>
      <c r="S69"/>
      <c r="T69"/>
    </row>
    <row r="70" spans="1:21">
      <c r="C70" t="s">
        <v>457</v>
      </c>
      <c r="E70" s="53">
        <v>46363</v>
      </c>
      <c r="I70" s="196" t="s">
        <v>98</v>
      </c>
      <c r="K70" s="3">
        <v>6000</v>
      </c>
      <c r="Q70"/>
      <c r="R70"/>
      <c r="S70"/>
      <c r="T70"/>
    </row>
    <row r="71" spans="1:21">
      <c r="C71" t="s">
        <v>458</v>
      </c>
      <c r="E71" s="365">
        <v>46364</v>
      </c>
      <c r="I71" s="196" t="s">
        <v>98</v>
      </c>
      <c r="K71" s="3">
        <v>6000</v>
      </c>
      <c r="Q71"/>
      <c r="R71"/>
      <c r="S71"/>
      <c r="T71"/>
    </row>
    <row r="72" spans="1:21">
      <c r="Q72"/>
      <c r="R72"/>
      <c r="S72"/>
      <c r="T72"/>
    </row>
    <row r="73" spans="1:21">
      <c r="B73" s="5" t="s">
        <v>411</v>
      </c>
      <c r="C73" t="s">
        <v>459</v>
      </c>
      <c r="E73" s="365">
        <v>46014</v>
      </c>
      <c r="I73" s="45" t="s">
        <v>98</v>
      </c>
      <c r="K73">
        <v>5000</v>
      </c>
      <c r="L73" s="366">
        <v>27.626000000000001</v>
      </c>
      <c r="M73" s="366">
        <v>51.512</v>
      </c>
      <c r="T73" s="364" t="s">
        <v>460</v>
      </c>
    </row>
  </sheetData>
  <mergeCells count="12">
    <mergeCell ref="A3:A10"/>
    <mergeCell ref="A11:A18"/>
    <mergeCell ref="A19:A26"/>
    <mergeCell ref="B19:B26"/>
    <mergeCell ref="AC3:AC28"/>
    <mergeCell ref="AB3:AB28"/>
    <mergeCell ref="U1:X1"/>
    <mergeCell ref="Y1:Z1"/>
    <mergeCell ref="B3:B10"/>
    <mergeCell ref="B11:B18"/>
    <mergeCell ref="Y3:Y28"/>
    <mergeCell ref="Z3:Z28"/>
  </mergeCells>
  <hyperlinks>
    <hyperlink ref="AC3:AC10" r:id="rId1" display="https://nee.sharepoint.com/teams/EXT_CIStoSAP/Shared%20Documents/Forms/AllItems.aspx?id=%2Fteams%2FEXT%5FCIStoSAP%2FShared%20Documents%2FOperational%20Readiness%20and%20Testing%2F00%2E%20Integrated%20Releases%2F01%2D%20Integrated%20Release%201%2E0%2F02%2E%20UAT%2F03%2E%20Performance%20Testing%2FUnified%20CRM%2D%20Performance%20Test%2FField%20Services&amp;viewid=7c6b97d2%2De29a%2D4b27%2D98e7%2D3f5d5bd11dff&amp;CT=1744734421771&amp;OR=OWA%2DNT%2DMail&amp;CID=fdad4da5%2D3ad1%2D9d3f%2Ddbc8%2Ddc1163ee8893&amp;e=5%3A114072a8299643868b1c4fc0e1a4594b&amp;sharingv2=true&amp;fromShare=true&amp;at=9&amp;FolderCTID=0x012000D735ADCC1E28D24684C83D05ABBC84C7" xr:uid="{E03D2951-FF2B-4C1E-8A07-46658C7240F6}"/>
    <hyperlink ref="AC3:AC28" r:id="rId2" display="https://nee.sharepoint.com/teams/EXT_CIStoSAP/Shared%20Documents/Forms/AllItems.aspx?id=%2Fteams%2FEXT%5FCIStoSAP%2FShared%20Documents%2FOperational%20Readiness%20and%20Testing%2F00%2E%20Integrated%20Releases%2F01%2D%20Integrated%20Release%201%2E0%2F02%2E%20UAT%2F03%2E%20Performance%20Testing%2FUnified%20CRM%2D%20Performance%20Test%2FField%20Services&amp;viewid=7c6b97d2%2De29a%2D4b27%2D98e7%2D3f5d5bd11dff&amp;CT=1744734421771&amp;OR=OWA%2DNT%2DMail&amp;CID=fdad4da5%2D3ad1%2D9d3f%2Ddbc8%2Ddc1163ee8893&amp;e=5%3A114072a8299643868b1c4fc0e1a4594b&amp;sharingv2=true&amp;fromShare=true&amp;at=9&amp;FolderCTID=0x012000D735ADCC1E28D24684C83D05ABBC84C7" xr:uid="{4A65D75E-08D8-4B68-B572-3B697546090D}"/>
    <hyperlink ref="T39" r:id="rId3" xr:uid="{1D8DF879-3D86-4A42-A87E-515375E49E19}"/>
    <hyperlink ref="T37" r:id="rId4" xr:uid="{195F2935-0DAA-4B26-903E-4FAA761BA84A}"/>
    <hyperlink ref="T68" r:id="rId5" xr:uid="{4D9A4938-A960-4C8F-8257-D0898493A472}"/>
    <hyperlink ref="T64" r:id="rId6" xr:uid="{EB6B4B55-CE4B-4FF7-9B34-7A706226E0CA}"/>
    <hyperlink ref="T33" r:id="rId7" display="https://jira.nexteraenergy.com/browse/SFAD-9356/ converted to CS field issue: https://jira.nexteraenergy.com/browse/SFFIELD-3815" xr:uid="{D313DC7F-EB93-448D-9CB8-738419625AE8}"/>
    <hyperlink ref="T73" r:id="rId8" xr:uid="{6DB05910-5EFB-4EAC-9DA1-8090556822F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205FADC-0CF7-4DEF-B564-3FDAF408E57B}">
          <x14:formula1>
            <xm:f>'Execution Status'!$A$1:$A$8</xm:f>
          </x14:formula1>
          <xm:sqref>I3:I28 I30:I32 I34:I36 I38 I41:I48 I50:I57 I59:I64 I66:I67 I73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28E5-529B-4475-9DA8-8758321D2C65}">
  <sheetPr>
    <tabColor rgb="FF8DD9D6"/>
  </sheetPr>
  <dimension ref="A1:E1"/>
  <sheetViews>
    <sheetView workbookViewId="0"/>
  </sheetViews>
  <sheetFormatPr defaultRowHeight="15"/>
  <cols>
    <col min="1" max="1" width="32.28515625" customWidth="1"/>
    <col min="2" max="2" width="44.85546875" customWidth="1"/>
    <col min="3" max="3" width="28.85546875" customWidth="1"/>
    <col min="4" max="4" width="19.7109375" customWidth="1"/>
    <col min="5" max="5" width="22.140625" customWidth="1"/>
  </cols>
  <sheetData>
    <row r="1" spans="1:5">
      <c r="A1" s="4" t="s">
        <v>78</v>
      </c>
      <c r="B1" s="4" t="s">
        <v>79</v>
      </c>
      <c r="C1" s="4" t="s">
        <v>84</v>
      </c>
      <c r="D1" s="4" t="s">
        <v>85</v>
      </c>
      <c r="E1" s="4" t="s">
        <v>86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D8E85DE-FC50-41E8-B691-50A004E2D41C}">
          <x14:formula1>
            <xm:f>'Execution Status'!$A$1:$A$8</xm:f>
          </x14:formula1>
          <xm:sqref>D2:D66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EC89-5BBD-474B-A317-312BEAD43C81}">
  <sheetPr>
    <tabColor theme="3" tint="0.59999389629810485"/>
  </sheetPr>
  <dimension ref="A1:U64"/>
  <sheetViews>
    <sheetView topLeftCell="P2" workbookViewId="0">
      <selection activeCell="T5" sqref="T5:T8"/>
    </sheetView>
  </sheetViews>
  <sheetFormatPr defaultRowHeight="15"/>
  <cols>
    <col min="1" max="1" width="38.140625" customWidth="1"/>
    <col min="2" max="2" width="37.85546875" customWidth="1"/>
    <col min="3" max="3" width="15.42578125" bestFit="1" customWidth="1"/>
    <col min="4" max="4" width="22.5703125" bestFit="1" customWidth="1"/>
    <col min="5" max="5" width="19.7109375" customWidth="1"/>
    <col min="6" max="17" width="19.7109375" style="133" customWidth="1"/>
    <col min="18" max="18" width="23" customWidth="1"/>
    <col min="19" max="19" width="30.140625" customWidth="1"/>
    <col min="20" max="20" width="24.28515625" customWidth="1"/>
    <col min="21" max="21" width="52.5703125" customWidth="1"/>
  </cols>
  <sheetData>
    <row r="1" spans="1:21">
      <c r="A1" s="567" t="s">
        <v>78</v>
      </c>
      <c r="B1" s="569" t="s">
        <v>79</v>
      </c>
      <c r="C1" s="571" t="s">
        <v>192</v>
      </c>
      <c r="D1" s="573" t="s">
        <v>198</v>
      </c>
      <c r="E1" s="575" t="s">
        <v>199</v>
      </c>
      <c r="F1" s="577" t="s">
        <v>75</v>
      </c>
      <c r="G1" s="578"/>
      <c r="H1" s="578"/>
      <c r="I1" s="579"/>
      <c r="J1" s="406" t="s">
        <v>76</v>
      </c>
      <c r="K1" s="554"/>
      <c r="L1" s="554"/>
      <c r="M1" s="555"/>
      <c r="N1" s="409" t="s">
        <v>77</v>
      </c>
      <c r="O1" s="556"/>
      <c r="R1" s="42" t="s">
        <v>84</v>
      </c>
      <c r="S1" s="14" t="s">
        <v>85</v>
      </c>
      <c r="T1" s="567" t="s">
        <v>86</v>
      </c>
      <c r="U1" s="567" t="s">
        <v>87</v>
      </c>
    </row>
    <row r="2" spans="1:21" ht="60">
      <c r="A2" s="568"/>
      <c r="B2" s="570"/>
      <c r="C2" s="572"/>
      <c r="D2" s="574"/>
      <c r="E2" s="576"/>
      <c r="F2" s="131" t="s">
        <v>88</v>
      </c>
      <c r="G2" s="182" t="s">
        <v>89</v>
      </c>
      <c r="H2" s="182" t="s">
        <v>82</v>
      </c>
      <c r="I2" s="182" t="s">
        <v>83</v>
      </c>
      <c r="J2" s="131" t="s">
        <v>90</v>
      </c>
      <c r="K2" s="182" t="s">
        <v>89</v>
      </c>
      <c r="L2" s="182" t="s">
        <v>82</v>
      </c>
      <c r="M2" s="182" t="s">
        <v>83</v>
      </c>
      <c r="N2" s="182" t="s">
        <v>82</v>
      </c>
      <c r="O2" s="182" t="s">
        <v>83</v>
      </c>
      <c r="P2" s="182" t="s">
        <v>91</v>
      </c>
      <c r="Q2" s="182" t="s">
        <v>92</v>
      </c>
      <c r="R2" s="146"/>
      <c r="S2" s="13"/>
      <c r="T2" s="568"/>
      <c r="U2" s="568"/>
    </row>
    <row r="3" spans="1:21" ht="14.45" customHeight="1">
      <c r="A3" s="589" t="s">
        <v>461</v>
      </c>
      <c r="B3" s="158" t="s">
        <v>462</v>
      </c>
      <c r="C3" s="3">
        <v>2400</v>
      </c>
      <c r="D3" s="157">
        <v>3318</v>
      </c>
      <c r="E3" s="157">
        <v>3479</v>
      </c>
      <c r="F3" s="590" t="s">
        <v>463</v>
      </c>
      <c r="G3" s="591"/>
      <c r="H3" s="591"/>
      <c r="I3" s="592"/>
      <c r="J3" s="125"/>
      <c r="K3" s="125"/>
      <c r="L3" s="125"/>
      <c r="M3" s="125"/>
      <c r="N3" s="125"/>
      <c r="O3" s="125"/>
      <c r="P3" s="125"/>
      <c r="Q3" s="183" t="s">
        <v>464</v>
      </c>
      <c r="R3" s="159">
        <v>45736</v>
      </c>
      <c r="S3" s="160" t="s">
        <v>98</v>
      </c>
      <c r="T3" s="586" t="s">
        <v>465</v>
      </c>
    </row>
    <row r="4" spans="1:21" ht="14.45" customHeight="1">
      <c r="A4" s="589"/>
      <c r="B4" s="158" t="s">
        <v>466</v>
      </c>
      <c r="C4" s="3">
        <v>2400</v>
      </c>
      <c r="D4" s="157">
        <v>666</v>
      </c>
      <c r="E4" s="157">
        <v>741</v>
      </c>
      <c r="F4" s="593"/>
      <c r="G4" s="594"/>
      <c r="H4" s="594"/>
      <c r="I4" s="595"/>
      <c r="Q4" s="183" t="s">
        <v>464</v>
      </c>
      <c r="R4" s="159">
        <v>45735</v>
      </c>
      <c r="S4" s="160" t="s">
        <v>98</v>
      </c>
      <c r="T4" s="586"/>
    </row>
    <row r="5" spans="1:21" ht="75">
      <c r="A5" s="589" t="s">
        <v>467</v>
      </c>
      <c r="B5" s="158" t="s">
        <v>468</v>
      </c>
      <c r="C5" s="3">
        <v>2400</v>
      </c>
      <c r="D5" s="157">
        <v>440</v>
      </c>
      <c r="E5" s="157">
        <v>566</v>
      </c>
      <c r="F5" s="593"/>
      <c r="G5" s="594"/>
      <c r="H5" s="594"/>
      <c r="I5" s="595"/>
      <c r="J5" s="181"/>
      <c r="K5" s="181"/>
      <c r="L5" s="181"/>
      <c r="M5" s="181"/>
      <c r="N5" s="181"/>
      <c r="O5" s="181"/>
      <c r="P5" s="181"/>
      <c r="Q5" s="183" t="s">
        <v>464</v>
      </c>
      <c r="R5" s="159">
        <v>45736</v>
      </c>
      <c r="S5" s="160" t="s">
        <v>98</v>
      </c>
      <c r="T5" s="587" t="s">
        <v>469</v>
      </c>
    </row>
    <row r="6" spans="1:21" ht="14.45" customHeight="1">
      <c r="A6" s="589"/>
      <c r="B6" s="158" t="s">
        <v>470</v>
      </c>
      <c r="C6" s="3">
        <v>2400</v>
      </c>
      <c r="D6" s="157">
        <v>1010</v>
      </c>
      <c r="E6" s="157">
        <v>1533</v>
      </c>
      <c r="F6" s="593"/>
      <c r="G6" s="594"/>
      <c r="H6" s="594"/>
      <c r="I6" s="595"/>
      <c r="J6" s="181"/>
      <c r="K6" s="181"/>
      <c r="L6" s="181"/>
      <c r="M6" s="181"/>
      <c r="N6" s="181"/>
      <c r="O6" s="181"/>
      <c r="P6" s="181"/>
      <c r="Q6" s="183" t="s">
        <v>464</v>
      </c>
      <c r="R6" s="159">
        <v>45734</v>
      </c>
      <c r="S6" s="160" t="s">
        <v>98</v>
      </c>
      <c r="T6" s="588"/>
    </row>
    <row r="7" spans="1:21" ht="14.45" customHeight="1">
      <c r="A7" s="589"/>
      <c r="B7" s="158" t="s">
        <v>471</v>
      </c>
      <c r="C7" s="3">
        <v>2400</v>
      </c>
      <c r="D7" s="157">
        <v>1172</v>
      </c>
      <c r="E7" s="157">
        <v>1760</v>
      </c>
      <c r="F7" s="593"/>
      <c r="G7" s="594"/>
      <c r="H7" s="594"/>
      <c r="I7" s="595"/>
      <c r="J7" s="181"/>
      <c r="K7" s="181"/>
      <c r="L7" s="181"/>
      <c r="M7" s="181"/>
      <c r="N7" s="181"/>
      <c r="O7" s="181"/>
      <c r="P7" s="181"/>
      <c r="Q7" s="183" t="s">
        <v>464</v>
      </c>
      <c r="R7" s="159">
        <v>45734</v>
      </c>
      <c r="S7" s="160" t="s">
        <v>98</v>
      </c>
      <c r="T7" s="588"/>
    </row>
    <row r="8" spans="1:21" ht="14.45" customHeight="1">
      <c r="A8" s="589"/>
      <c r="B8" s="158" t="s">
        <v>472</v>
      </c>
      <c r="C8" s="3">
        <v>2400</v>
      </c>
      <c r="D8" s="157">
        <v>393</v>
      </c>
      <c r="E8" s="157">
        <v>425</v>
      </c>
      <c r="F8" s="593"/>
      <c r="G8" s="594"/>
      <c r="H8" s="594"/>
      <c r="I8" s="595"/>
      <c r="J8" s="181"/>
      <c r="K8" s="181"/>
      <c r="L8" s="181"/>
      <c r="M8" s="181"/>
      <c r="N8" s="181"/>
      <c r="O8" s="181"/>
      <c r="P8" s="181"/>
      <c r="Q8" s="183" t="s">
        <v>464</v>
      </c>
      <c r="R8" s="159">
        <v>45735</v>
      </c>
      <c r="S8" s="160" t="s">
        <v>98</v>
      </c>
      <c r="T8" s="588"/>
      <c r="U8" s="147" t="s">
        <v>473</v>
      </c>
    </row>
    <row r="9" spans="1:21" ht="75">
      <c r="A9" s="589" t="s">
        <v>474</v>
      </c>
      <c r="B9" s="158" t="s">
        <v>474</v>
      </c>
      <c r="C9" s="3">
        <v>2400</v>
      </c>
      <c r="D9" s="157">
        <v>948</v>
      </c>
      <c r="E9" s="157">
        <v>1205</v>
      </c>
      <c r="F9" s="593"/>
      <c r="G9" s="594"/>
      <c r="H9" s="594"/>
      <c r="I9" s="595"/>
      <c r="J9" s="181"/>
      <c r="K9" s="181"/>
      <c r="L9" s="181"/>
      <c r="M9" s="181"/>
      <c r="N9" s="181"/>
      <c r="O9" s="181"/>
      <c r="P9" s="181"/>
      <c r="Q9" s="183" t="s">
        <v>464</v>
      </c>
      <c r="R9" s="159">
        <v>45735</v>
      </c>
      <c r="S9" s="160" t="s">
        <v>98</v>
      </c>
      <c r="T9" s="587" t="s">
        <v>469</v>
      </c>
      <c r="U9" s="147" t="s">
        <v>475</v>
      </c>
    </row>
    <row r="10" spans="1:21" ht="14.45" customHeight="1">
      <c r="A10" s="589"/>
      <c r="B10" s="158" t="s">
        <v>476</v>
      </c>
      <c r="C10" s="3">
        <v>2400</v>
      </c>
      <c r="D10" s="157">
        <v>544</v>
      </c>
      <c r="E10" s="157">
        <v>650</v>
      </c>
      <c r="F10" s="593"/>
      <c r="G10" s="594"/>
      <c r="H10" s="594"/>
      <c r="I10" s="595"/>
      <c r="J10" s="181"/>
      <c r="K10" s="181"/>
      <c r="L10" s="181"/>
      <c r="M10" s="181"/>
      <c r="N10" s="181"/>
      <c r="O10" s="181"/>
      <c r="P10" s="181"/>
      <c r="Q10" s="183" t="s">
        <v>464</v>
      </c>
      <c r="R10" s="159">
        <v>45735</v>
      </c>
      <c r="S10" s="160" t="s">
        <v>98</v>
      </c>
      <c r="T10" s="587"/>
      <c r="U10" s="147" t="s">
        <v>477</v>
      </c>
    </row>
    <row r="11" spans="1:21" ht="75">
      <c r="A11" s="580" t="s">
        <v>478</v>
      </c>
      <c r="B11" s="158" t="s">
        <v>479</v>
      </c>
      <c r="C11" s="3">
        <v>4800</v>
      </c>
      <c r="D11" s="157">
        <v>981</v>
      </c>
      <c r="E11" s="157">
        <v>1062</v>
      </c>
      <c r="F11" s="593"/>
      <c r="G11" s="594"/>
      <c r="H11" s="594"/>
      <c r="I11" s="595"/>
      <c r="J11" s="181"/>
      <c r="K11" s="181"/>
      <c r="L11" s="181"/>
      <c r="M11" s="181"/>
      <c r="N11" s="181"/>
      <c r="O11" s="181"/>
      <c r="P11" s="181"/>
      <c r="Q11" s="183" t="s">
        <v>464</v>
      </c>
      <c r="R11" s="159">
        <v>45734</v>
      </c>
      <c r="S11" s="160" t="s">
        <v>98</v>
      </c>
      <c r="T11" s="583" t="s">
        <v>480</v>
      </c>
      <c r="U11" s="147" t="s">
        <v>481</v>
      </c>
    </row>
    <row r="12" spans="1:21" ht="14.45" customHeight="1">
      <c r="A12" s="581"/>
      <c r="B12" s="158" t="s">
        <v>482</v>
      </c>
      <c r="C12" s="3">
        <v>4800</v>
      </c>
      <c r="D12" s="157">
        <v>332</v>
      </c>
      <c r="E12" s="157">
        <v>445</v>
      </c>
      <c r="F12" s="593"/>
      <c r="G12" s="594"/>
      <c r="H12" s="594"/>
      <c r="I12" s="595"/>
      <c r="J12" s="181"/>
      <c r="K12" s="181"/>
      <c r="L12" s="181"/>
      <c r="M12" s="181"/>
      <c r="N12" s="181"/>
      <c r="O12" s="181"/>
      <c r="P12" s="181"/>
      <c r="Q12" s="183" t="s">
        <v>464</v>
      </c>
      <c r="R12" s="159">
        <v>45734</v>
      </c>
      <c r="S12" s="160" t="s">
        <v>98</v>
      </c>
      <c r="T12" s="584"/>
      <c r="U12" s="147" t="s">
        <v>483</v>
      </c>
    </row>
    <row r="13" spans="1:21" ht="14.45" customHeight="1">
      <c r="A13" s="581"/>
      <c r="B13" s="158" t="s">
        <v>484</v>
      </c>
      <c r="C13" s="3">
        <v>4800</v>
      </c>
      <c r="D13" s="157">
        <v>919</v>
      </c>
      <c r="E13" s="157">
        <v>2503</v>
      </c>
      <c r="F13" s="593"/>
      <c r="G13" s="594"/>
      <c r="H13" s="594"/>
      <c r="I13" s="595"/>
      <c r="J13" s="181"/>
      <c r="K13" s="181"/>
      <c r="L13" s="181"/>
      <c r="M13" s="181"/>
      <c r="N13" s="181"/>
      <c r="O13" s="181"/>
      <c r="P13" s="181"/>
      <c r="Q13" s="183" t="s">
        <v>464</v>
      </c>
      <c r="R13" s="159">
        <v>45734</v>
      </c>
      <c r="S13" s="160" t="s">
        <v>98</v>
      </c>
      <c r="T13" s="584"/>
      <c r="U13" s="147" t="s">
        <v>485</v>
      </c>
    </row>
    <row r="14" spans="1:21" ht="14.45" customHeight="1">
      <c r="A14" s="581"/>
      <c r="B14" s="173" t="s">
        <v>486</v>
      </c>
      <c r="C14" s="175">
        <v>2400</v>
      </c>
      <c r="D14" s="176">
        <v>1905</v>
      </c>
      <c r="E14" s="176">
        <v>2024</v>
      </c>
      <c r="F14" s="593"/>
      <c r="G14" s="594"/>
      <c r="H14" s="594"/>
      <c r="I14" s="595"/>
      <c r="J14" s="181"/>
      <c r="K14" s="181"/>
      <c r="L14" s="181"/>
      <c r="M14" s="181"/>
      <c r="N14" s="181"/>
      <c r="O14" s="181"/>
      <c r="P14" s="181"/>
      <c r="Q14" s="183" t="s">
        <v>464</v>
      </c>
      <c r="R14" s="177">
        <v>45736</v>
      </c>
      <c r="S14" s="174" t="s">
        <v>98</v>
      </c>
      <c r="T14" s="584"/>
      <c r="U14" s="147"/>
    </row>
    <row r="15" spans="1:21" ht="14.45" customHeight="1">
      <c r="A15" s="581"/>
      <c r="B15" s="158" t="s">
        <v>487</v>
      </c>
      <c r="C15" s="3">
        <v>2400</v>
      </c>
      <c r="D15" s="157">
        <v>998</v>
      </c>
      <c r="E15" s="157">
        <v>1131</v>
      </c>
      <c r="F15" s="593"/>
      <c r="G15" s="594"/>
      <c r="H15" s="594"/>
      <c r="I15" s="595"/>
      <c r="J15" s="181"/>
      <c r="K15" s="181"/>
      <c r="L15" s="181"/>
      <c r="M15" s="181"/>
      <c r="N15" s="181"/>
      <c r="O15" s="181"/>
      <c r="P15" s="181"/>
      <c r="Q15" s="183" t="s">
        <v>464</v>
      </c>
      <c r="R15" s="159">
        <v>45736</v>
      </c>
      <c r="S15" s="160" t="s">
        <v>98</v>
      </c>
      <c r="T15" s="584"/>
      <c r="U15" s="147"/>
    </row>
    <row r="16" spans="1:21" ht="14.45" customHeight="1">
      <c r="A16" s="581"/>
      <c r="B16" s="158" t="s">
        <v>488</v>
      </c>
      <c r="C16" s="3">
        <v>2400</v>
      </c>
      <c r="D16" s="157">
        <v>514</v>
      </c>
      <c r="E16" s="157">
        <v>674</v>
      </c>
      <c r="F16" s="593"/>
      <c r="G16" s="594"/>
      <c r="H16" s="594"/>
      <c r="I16" s="595"/>
      <c r="J16" s="181"/>
      <c r="K16" s="181"/>
      <c r="L16" s="181"/>
      <c r="M16" s="181"/>
      <c r="N16" s="181"/>
      <c r="O16" s="181"/>
      <c r="P16" s="181"/>
      <c r="Q16" s="183" t="s">
        <v>464</v>
      </c>
      <c r="R16" s="159">
        <v>45736</v>
      </c>
      <c r="S16" s="160" t="s">
        <v>98</v>
      </c>
      <c r="T16" s="584"/>
      <c r="U16" s="147"/>
    </row>
    <row r="17" spans="1:21" ht="14.45" customHeight="1">
      <c r="A17" s="582"/>
      <c r="B17" s="158" t="s">
        <v>489</v>
      </c>
      <c r="C17" s="3">
        <v>2400</v>
      </c>
      <c r="D17" s="157">
        <v>2829</v>
      </c>
      <c r="E17" s="157">
        <v>3100</v>
      </c>
      <c r="F17" s="593"/>
      <c r="G17" s="594"/>
      <c r="H17" s="594"/>
      <c r="I17" s="595"/>
      <c r="J17" s="181"/>
      <c r="K17" s="181"/>
      <c r="L17" s="181"/>
      <c r="M17" s="181"/>
      <c r="N17" s="181"/>
      <c r="O17" s="181"/>
      <c r="P17" s="181"/>
      <c r="Q17" s="183" t="s">
        <v>464</v>
      </c>
      <c r="R17" s="159">
        <v>45735</v>
      </c>
      <c r="S17" s="160" t="s">
        <v>98</v>
      </c>
      <c r="T17" s="585"/>
      <c r="U17" s="147"/>
    </row>
    <row r="18" spans="1:21" ht="75">
      <c r="A18" s="133" t="s">
        <v>490</v>
      </c>
      <c r="B18" s="133" t="s">
        <v>472</v>
      </c>
      <c r="C18" s="3">
        <v>4800</v>
      </c>
      <c r="D18" s="157">
        <v>402</v>
      </c>
      <c r="E18" s="157">
        <v>519</v>
      </c>
      <c r="F18" s="596"/>
      <c r="G18" s="597"/>
      <c r="H18" s="597"/>
      <c r="I18" s="598"/>
      <c r="J18" s="181"/>
      <c r="K18" s="181"/>
      <c r="L18" s="181"/>
      <c r="M18" s="181"/>
      <c r="N18" s="181"/>
      <c r="O18" s="181"/>
      <c r="P18" s="181"/>
      <c r="Q18" s="183" t="s">
        <v>464</v>
      </c>
      <c r="R18" s="161">
        <v>45736</v>
      </c>
      <c r="S18" s="160" t="s">
        <v>98</v>
      </c>
      <c r="T18" s="3"/>
    </row>
    <row r="19" spans="1:21">
      <c r="F19" s="132"/>
      <c r="G19" s="132"/>
      <c r="H19" s="181"/>
      <c r="I19" s="181"/>
      <c r="J19" s="181"/>
      <c r="K19" s="181"/>
      <c r="L19" s="181"/>
      <c r="M19" s="181"/>
      <c r="N19" s="181"/>
      <c r="O19" s="181"/>
      <c r="P19" s="181"/>
      <c r="Q19" s="181"/>
    </row>
    <row r="20" spans="1:21">
      <c r="F20" s="132"/>
      <c r="G20" s="132"/>
      <c r="H20" s="181"/>
      <c r="I20" s="181"/>
      <c r="J20" s="181"/>
      <c r="K20" s="181"/>
      <c r="L20" s="181"/>
      <c r="M20" s="181"/>
      <c r="N20" s="181"/>
      <c r="O20" s="181"/>
      <c r="P20" s="181"/>
      <c r="Q20" s="181"/>
    </row>
    <row r="21" spans="1:21">
      <c r="F21" s="132"/>
      <c r="G21" s="132"/>
      <c r="H21" s="181"/>
      <c r="I21" s="181"/>
      <c r="J21" s="181"/>
      <c r="K21" s="181"/>
      <c r="L21" s="181"/>
      <c r="M21" s="181"/>
      <c r="N21" s="181"/>
      <c r="O21" s="181"/>
      <c r="P21" s="181"/>
      <c r="Q21" s="181"/>
    </row>
    <row r="22" spans="1:21">
      <c r="F22" s="132"/>
      <c r="G22" s="132"/>
      <c r="H22" s="181"/>
      <c r="I22" s="181"/>
      <c r="J22" s="181"/>
      <c r="K22" s="181"/>
      <c r="L22" s="181"/>
      <c r="M22" s="181"/>
      <c r="N22" s="181"/>
      <c r="O22" s="181"/>
      <c r="P22" s="181"/>
      <c r="Q22" s="181"/>
    </row>
    <row r="23" spans="1:21">
      <c r="F23" s="132"/>
      <c r="G23" s="132"/>
      <c r="H23" s="181"/>
      <c r="I23" s="181"/>
      <c r="J23" s="181"/>
      <c r="K23" s="181"/>
      <c r="L23" s="181"/>
      <c r="M23" s="181"/>
      <c r="N23" s="181"/>
      <c r="O23" s="181"/>
      <c r="P23" s="181"/>
      <c r="Q23" s="181"/>
    </row>
    <row r="24" spans="1:21">
      <c r="F24" s="132"/>
      <c r="G24" s="132"/>
      <c r="H24" s="181"/>
      <c r="I24" s="181"/>
      <c r="J24" s="181"/>
      <c r="K24" s="181"/>
      <c r="L24" s="181"/>
      <c r="M24" s="181"/>
      <c r="N24" s="181"/>
      <c r="O24" s="181"/>
      <c r="P24" s="181"/>
      <c r="Q24" s="181"/>
    </row>
    <row r="25" spans="1:21">
      <c r="F25" s="132"/>
      <c r="G25" s="132"/>
      <c r="H25" s="181"/>
      <c r="I25" s="181"/>
      <c r="J25" s="181"/>
      <c r="K25" s="181"/>
      <c r="L25" s="181"/>
      <c r="M25" s="181"/>
      <c r="N25" s="181"/>
      <c r="O25" s="181"/>
      <c r="P25" s="181"/>
      <c r="Q25" s="181"/>
    </row>
    <row r="26" spans="1:21">
      <c r="F26" s="132"/>
      <c r="G26" s="132"/>
      <c r="H26" s="181"/>
      <c r="I26" s="181"/>
      <c r="J26" s="181"/>
      <c r="K26" s="181"/>
      <c r="L26" s="181"/>
      <c r="M26" s="181"/>
      <c r="N26" s="181"/>
      <c r="O26" s="181"/>
      <c r="P26" s="181"/>
      <c r="Q26" s="181"/>
    </row>
    <row r="27" spans="1:21">
      <c r="F27" s="132"/>
      <c r="G27" s="132"/>
      <c r="H27" s="181"/>
      <c r="I27" s="181"/>
      <c r="J27" s="181"/>
      <c r="K27" s="181"/>
      <c r="L27" s="181"/>
      <c r="M27" s="181"/>
      <c r="N27" s="181"/>
      <c r="O27" s="181"/>
      <c r="P27" s="181"/>
      <c r="Q27" s="181"/>
    </row>
    <row r="28" spans="1:21">
      <c r="F28" s="132"/>
      <c r="G28" s="132"/>
      <c r="H28" s="181"/>
      <c r="I28" s="181"/>
      <c r="J28" s="181"/>
      <c r="K28" s="181"/>
      <c r="L28" s="181"/>
      <c r="M28" s="181"/>
      <c r="N28" s="181"/>
      <c r="O28" s="181"/>
      <c r="P28" s="181"/>
      <c r="Q28" s="181"/>
    </row>
    <row r="29" spans="1:21">
      <c r="F29" s="132"/>
      <c r="G29" s="132"/>
      <c r="H29" s="181"/>
      <c r="I29" s="181"/>
      <c r="J29" s="181"/>
      <c r="K29" s="181"/>
      <c r="L29" s="181"/>
      <c r="M29" s="181"/>
      <c r="N29" s="181"/>
      <c r="O29" s="181"/>
      <c r="P29" s="181"/>
      <c r="Q29" s="181"/>
    </row>
    <row r="30" spans="1:21">
      <c r="F30" s="132"/>
      <c r="G30" s="132"/>
      <c r="H30" s="181"/>
      <c r="I30" s="181"/>
      <c r="J30" s="181"/>
      <c r="K30" s="181"/>
      <c r="L30" s="181"/>
      <c r="M30" s="181"/>
      <c r="N30" s="181"/>
      <c r="O30" s="181"/>
      <c r="P30" s="181"/>
      <c r="Q30" s="181"/>
    </row>
    <row r="31" spans="1:21">
      <c r="F31" s="132"/>
      <c r="G31" s="132"/>
      <c r="H31" s="181"/>
      <c r="I31" s="181"/>
      <c r="J31" s="181"/>
      <c r="K31" s="181"/>
      <c r="L31" s="181"/>
      <c r="M31" s="181"/>
      <c r="N31" s="181"/>
      <c r="O31" s="181"/>
      <c r="P31" s="181"/>
      <c r="Q31" s="181"/>
    </row>
    <row r="32" spans="1:21">
      <c r="F32" s="132"/>
      <c r="G32" s="132"/>
      <c r="H32" s="181"/>
      <c r="I32" s="181"/>
      <c r="J32" s="181"/>
      <c r="K32" s="181"/>
      <c r="L32" s="181"/>
      <c r="M32" s="181"/>
      <c r="N32" s="181"/>
      <c r="O32" s="181"/>
      <c r="P32" s="181"/>
      <c r="Q32" s="181"/>
    </row>
    <row r="33" spans="6:17">
      <c r="F33" s="132"/>
      <c r="G33" s="132"/>
      <c r="H33" s="181"/>
      <c r="I33" s="181"/>
      <c r="J33" s="181"/>
      <c r="K33" s="181"/>
      <c r="L33" s="181"/>
      <c r="M33" s="181"/>
      <c r="N33" s="181"/>
      <c r="O33" s="181"/>
      <c r="P33" s="181"/>
      <c r="Q33" s="181"/>
    </row>
    <row r="34" spans="6:17">
      <c r="F34" s="132"/>
      <c r="G34" s="132"/>
      <c r="H34" s="181"/>
      <c r="I34" s="181"/>
      <c r="J34" s="181"/>
      <c r="K34" s="181"/>
      <c r="L34" s="181"/>
      <c r="M34" s="181"/>
      <c r="N34" s="181"/>
      <c r="O34" s="181"/>
      <c r="P34" s="181"/>
      <c r="Q34" s="181"/>
    </row>
    <row r="35" spans="6:17">
      <c r="F35" s="132"/>
      <c r="G35" s="132"/>
      <c r="H35" s="181"/>
      <c r="I35" s="181"/>
      <c r="J35" s="181"/>
      <c r="K35" s="181"/>
      <c r="L35" s="181"/>
      <c r="M35" s="181"/>
      <c r="N35" s="181"/>
      <c r="O35" s="181"/>
      <c r="P35" s="181"/>
      <c r="Q35" s="181"/>
    </row>
    <row r="36" spans="6:17">
      <c r="F36" s="132"/>
      <c r="G36" s="132"/>
      <c r="H36" s="181"/>
      <c r="I36" s="181"/>
      <c r="J36" s="181"/>
      <c r="K36" s="181"/>
      <c r="L36" s="181"/>
      <c r="M36" s="181"/>
      <c r="N36" s="181"/>
      <c r="O36" s="181"/>
      <c r="P36" s="181"/>
      <c r="Q36" s="181"/>
    </row>
    <row r="37" spans="6:17">
      <c r="F37" s="132"/>
      <c r="G37" s="132"/>
      <c r="H37" s="181"/>
      <c r="I37" s="181"/>
      <c r="J37" s="181"/>
      <c r="K37" s="181"/>
      <c r="L37" s="181"/>
      <c r="M37" s="181"/>
      <c r="N37" s="181"/>
      <c r="O37" s="181"/>
      <c r="P37" s="181"/>
      <c r="Q37" s="181"/>
    </row>
    <row r="38" spans="6:17">
      <c r="F38" s="132"/>
      <c r="G38" s="132"/>
      <c r="H38" s="181"/>
      <c r="I38" s="181"/>
      <c r="J38" s="181"/>
      <c r="K38" s="181"/>
      <c r="L38" s="181"/>
      <c r="M38" s="181"/>
      <c r="N38" s="181"/>
      <c r="O38" s="181"/>
      <c r="P38" s="181"/>
      <c r="Q38" s="181"/>
    </row>
    <row r="39" spans="6:17">
      <c r="F39" s="132"/>
      <c r="G39" s="132"/>
      <c r="H39" s="181"/>
      <c r="I39" s="181"/>
      <c r="J39" s="181"/>
      <c r="K39" s="181"/>
      <c r="L39" s="181"/>
      <c r="M39" s="181"/>
      <c r="N39" s="181"/>
      <c r="O39" s="181"/>
      <c r="P39" s="181"/>
      <c r="Q39" s="181"/>
    </row>
    <row r="40" spans="6:17">
      <c r="F40" s="132"/>
      <c r="G40" s="132"/>
      <c r="H40" s="181"/>
      <c r="I40" s="181"/>
      <c r="J40" s="181"/>
      <c r="K40" s="181"/>
      <c r="L40" s="181"/>
      <c r="M40" s="181"/>
      <c r="N40" s="181"/>
      <c r="O40" s="181"/>
      <c r="P40" s="181"/>
      <c r="Q40" s="181"/>
    </row>
    <row r="41" spans="6:17">
      <c r="F41" s="132"/>
      <c r="G41" s="132"/>
      <c r="H41" s="181"/>
      <c r="I41" s="181"/>
      <c r="J41" s="181"/>
      <c r="K41" s="181"/>
      <c r="L41" s="181"/>
      <c r="M41" s="181"/>
      <c r="N41" s="181"/>
      <c r="O41" s="181"/>
      <c r="P41" s="181"/>
      <c r="Q41" s="181"/>
    </row>
    <row r="42" spans="6:17">
      <c r="F42" s="132"/>
      <c r="G42" s="132"/>
      <c r="H42" s="181"/>
      <c r="I42" s="181"/>
      <c r="J42" s="181"/>
      <c r="K42" s="181"/>
      <c r="L42" s="181"/>
      <c r="M42" s="181"/>
      <c r="N42" s="181"/>
      <c r="O42" s="181"/>
      <c r="P42" s="181"/>
      <c r="Q42" s="181"/>
    </row>
    <row r="43" spans="6:17">
      <c r="F43" s="132"/>
      <c r="G43" s="132"/>
      <c r="H43" s="181"/>
      <c r="I43" s="181"/>
      <c r="J43" s="181"/>
      <c r="K43" s="181"/>
      <c r="L43" s="181"/>
      <c r="M43" s="181"/>
      <c r="N43" s="181"/>
      <c r="O43" s="181"/>
      <c r="P43" s="181"/>
      <c r="Q43" s="181"/>
    </row>
    <row r="44" spans="6:17">
      <c r="F44" s="132"/>
      <c r="G44" s="132"/>
      <c r="H44" s="181"/>
      <c r="I44" s="181"/>
      <c r="J44" s="181"/>
      <c r="K44" s="181"/>
      <c r="L44" s="181"/>
      <c r="M44" s="181"/>
      <c r="N44" s="181"/>
      <c r="O44" s="181"/>
      <c r="P44" s="181"/>
      <c r="Q44" s="181"/>
    </row>
    <row r="45" spans="6:17">
      <c r="F45" s="132"/>
      <c r="G45" s="132"/>
      <c r="H45" s="181"/>
      <c r="I45" s="181"/>
      <c r="J45" s="181"/>
      <c r="K45" s="181"/>
      <c r="L45" s="181"/>
      <c r="M45" s="181"/>
      <c r="N45" s="181"/>
      <c r="O45" s="181"/>
      <c r="P45" s="181"/>
      <c r="Q45" s="181"/>
    </row>
    <row r="46" spans="6:17">
      <c r="F46" s="132"/>
      <c r="G46" s="132"/>
      <c r="H46" s="181"/>
      <c r="I46" s="181"/>
      <c r="J46" s="181"/>
      <c r="K46" s="181"/>
      <c r="L46" s="181"/>
      <c r="M46" s="181"/>
      <c r="N46" s="181"/>
      <c r="O46" s="181"/>
      <c r="P46" s="181"/>
      <c r="Q46" s="181"/>
    </row>
    <row r="47" spans="6:17">
      <c r="F47" s="132"/>
      <c r="G47" s="132"/>
      <c r="H47" s="181"/>
      <c r="I47" s="181"/>
      <c r="J47" s="181"/>
      <c r="K47" s="181"/>
      <c r="L47" s="181"/>
      <c r="M47" s="181"/>
      <c r="N47" s="181"/>
      <c r="O47" s="181"/>
      <c r="P47" s="181"/>
      <c r="Q47" s="181"/>
    </row>
    <row r="48" spans="6:17">
      <c r="F48" s="132"/>
      <c r="G48" s="132"/>
      <c r="H48" s="181"/>
      <c r="I48" s="181"/>
      <c r="J48" s="181"/>
      <c r="K48" s="181"/>
      <c r="L48" s="181"/>
      <c r="M48" s="181"/>
      <c r="N48" s="181"/>
      <c r="O48" s="181"/>
      <c r="P48" s="181"/>
      <c r="Q48" s="181"/>
    </row>
    <row r="49" spans="6:17">
      <c r="F49" s="132"/>
      <c r="G49" s="132"/>
      <c r="H49" s="181"/>
      <c r="I49" s="181"/>
      <c r="J49" s="181"/>
      <c r="K49" s="181"/>
      <c r="L49" s="181"/>
      <c r="M49" s="181"/>
      <c r="N49" s="181"/>
      <c r="O49" s="181"/>
      <c r="P49" s="181"/>
      <c r="Q49" s="181"/>
    </row>
    <row r="50" spans="6:17">
      <c r="F50" s="132"/>
      <c r="G50" s="132"/>
      <c r="H50" s="181"/>
      <c r="I50" s="181"/>
      <c r="J50" s="181"/>
      <c r="K50" s="181"/>
      <c r="L50" s="181"/>
      <c r="M50" s="181"/>
      <c r="N50" s="181"/>
      <c r="O50" s="181"/>
      <c r="P50" s="181"/>
      <c r="Q50" s="181"/>
    </row>
    <row r="51" spans="6:17">
      <c r="F51" s="132"/>
      <c r="G51" s="132"/>
      <c r="H51" s="181"/>
      <c r="I51" s="181"/>
      <c r="J51" s="181"/>
      <c r="K51" s="181"/>
      <c r="L51" s="181"/>
      <c r="M51" s="181"/>
      <c r="N51" s="181"/>
      <c r="O51" s="181"/>
      <c r="P51" s="181"/>
      <c r="Q51" s="181"/>
    </row>
    <row r="52" spans="6:17">
      <c r="F52" s="132"/>
      <c r="G52" s="132"/>
      <c r="H52" s="181"/>
      <c r="I52" s="181"/>
      <c r="J52" s="181"/>
      <c r="K52" s="181"/>
      <c r="L52" s="181"/>
      <c r="M52" s="181"/>
      <c r="N52" s="181"/>
      <c r="O52" s="181"/>
      <c r="P52" s="181"/>
      <c r="Q52" s="181"/>
    </row>
    <row r="53" spans="6:17">
      <c r="F53" s="132"/>
      <c r="G53" s="132"/>
      <c r="H53" s="181"/>
      <c r="I53" s="181"/>
      <c r="J53" s="181"/>
      <c r="K53" s="181"/>
      <c r="L53" s="181"/>
      <c r="M53" s="181"/>
      <c r="N53" s="181"/>
      <c r="O53" s="181"/>
      <c r="P53" s="181"/>
      <c r="Q53" s="181"/>
    </row>
    <row r="54" spans="6:17">
      <c r="F54" s="132"/>
      <c r="G54" s="132"/>
      <c r="H54" s="181"/>
      <c r="I54" s="181"/>
      <c r="J54" s="181"/>
      <c r="K54" s="181"/>
      <c r="L54" s="181"/>
      <c r="M54" s="181"/>
      <c r="N54" s="181"/>
      <c r="O54" s="181"/>
      <c r="P54" s="181"/>
      <c r="Q54" s="181"/>
    </row>
    <row r="55" spans="6:17">
      <c r="F55" s="132"/>
      <c r="G55" s="132"/>
      <c r="H55" s="181"/>
      <c r="I55" s="181"/>
      <c r="J55" s="181"/>
      <c r="K55" s="181"/>
      <c r="L55" s="181"/>
      <c r="M55" s="181"/>
      <c r="N55" s="181"/>
      <c r="O55" s="181"/>
      <c r="P55" s="181"/>
      <c r="Q55" s="181"/>
    </row>
    <row r="56" spans="6:17">
      <c r="F56" s="132"/>
      <c r="G56" s="132"/>
      <c r="H56" s="181"/>
      <c r="I56" s="181"/>
      <c r="J56" s="181"/>
      <c r="K56" s="181"/>
      <c r="L56" s="181"/>
      <c r="M56" s="181"/>
      <c r="N56" s="181"/>
      <c r="O56" s="181"/>
      <c r="P56" s="181"/>
      <c r="Q56" s="181"/>
    </row>
    <row r="57" spans="6:17">
      <c r="F57" s="132"/>
      <c r="G57" s="132"/>
      <c r="H57" s="181"/>
      <c r="I57" s="181"/>
      <c r="J57" s="181"/>
      <c r="K57" s="181"/>
      <c r="L57" s="181"/>
      <c r="M57" s="181"/>
      <c r="N57" s="181"/>
      <c r="O57" s="181"/>
      <c r="P57" s="181"/>
      <c r="Q57" s="181"/>
    </row>
    <row r="58" spans="6:17">
      <c r="F58" s="132"/>
      <c r="G58" s="132"/>
      <c r="H58" s="181"/>
      <c r="I58" s="181"/>
      <c r="J58" s="181"/>
      <c r="K58" s="181"/>
      <c r="L58" s="181"/>
      <c r="M58" s="181"/>
      <c r="N58" s="181"/>
      <c r="O58" s="181"/>
      <c r="P58" s="181"/>
      <c r="Q58" s="181"/>
    </row>
    <row r="59" spans="6:17">
      <c r="F59" s="132"/>
      <c r="G59" s="132"/>
      <c r="H59" s="181"/>
      <c r="I59" s="181"/>
      <c r="J59" s="181"/>
      <c r="K59" s="181"/>
      <c r="L59" s="181"/>
      <c r="M59" s="181"/>
      <c r="N59" s="181"/>
      <c r="O59" s="181"/>
      <c r="P59" s="181"/>
      <c r="Q59" s="181"/>
    </row>
    <row r="60" spans="6:17">
      <c r="F60" s="132"/>
      <c r="G60" s="132"/>
      <c r="H60" s="181"/>
      <c r="I60" s="181"/>
      <c r="J60" s="181"/>
      <c r="K60" s="181"/>
      <c r="L60" s="181"/>
      <c r="M60" s="181"/>
      <c r="N60" s="181"/>
      <c r="O60" s="181"/>
      <c r="P60" s="181"/>
      <c r="Q60" s="181"/>
    </row>
    <row r="61" spans="6:17">
      <c r="F61" s="132"/>
      <c r="G61" s="132"/>
      <c r="H61" s="181"/>
      <c r="I61" s="181"/>
      <c r="J61" s="181"/>
      <c r="K61" s="181"/>
      <c r="L61" s="181"/>
      <c r="M61" s="181"/>
      <c r="N61" s="181"/>
      <c r="O61" s="181"/>
      <c r="P61" s="181"/>
      <c r="Q61" s="181"/>
    </row>
    <row r="62" spans="6:17">
      <c r="F62" s="132"/>
      <c r="G62" s="132"/>
      <c r="H62" s="181"/>
      <c r="I62" s="181"/>
      <c r="J62" s="181"/>
      <c r="K62" s="181"/>
      <c r="L62" s="181"/>
      <c r="M62" s="181"/>
      <c r="N62" s="181"/>
      <c r="O62" s="181"/>
      <c r="P62" s="181"/>
      <c r="Q62" s="181"/>
    </row>
    <row r="63" spans="6:17">
      <c r="F63" s="132"/>
      <c r="G63" s="132"/>
      <c r="H63" s="181"/>
      <c r="I63" s="181"/>
      <c r="J63" s="181"/>
      <c r="K63" s="181"/>
      <c r="L63" s="181"/>
      <c r="M63" s="181"/>
      <c r="N63" s="181"/>
      <c r="O63" s="181"/>
      <c r="P63" s="181"/>
      <c r="Q63" s="181"/>
    </row>
    <row r="64" spans="6:17">
      <c r="F64" s="132"/>
      <c r="G64" s="132"/>
      <c r="H64" s="181"/>
      <c r="I64" s="181"/>
      <c r="J64" s="181"/>
      <c r="K64" s="181"/>
      <c r="L64" s="181"/>
      <c r="M64" s="181"/>
      <c r="N64" s="181"/>
      <c r="O64" s="181"/>
      <c r="P64" s="181"/>
      <c r="Q64" s="181"/>
    </row>
  </sheetData>
  <autoFilter ref="A1:T1" xr:uid="{7944EC89-5BBD-474B-A317-312BEAD43C81}"/>
  <mergeCells count="19">
    <mergeCell ref="A11:A17"/>
    <mergeCell ref="T11:T17"/>
    <mergeCell ref="T3:T4"/>
    <mergeCell ref="T5:T8"/>
    <mergeCell ref="T9:T10"/>
    <mergeCell ref="A3:A4"/>
    <mergeCell ref="A9:A10"/>
    <mergeCell ref="A5:A8"/>
    <mergeCell ref="F3:I18"/>
    <mergeCell ref="U1:U2"/>
    <mergeCell ref="T1:T2"/>
    <mergeCell ref="A1:A2"/>
    <mergeCell ref="B1:B2"/>
    <mergeCell ref="C1:C2"/>
    <mergeCell ref="D1:D2"/>
    <mergeCell ref="E1:E2"/>
    <mergeCell ref="F1:I1"/>
    <mergeCell ref="J1:M1"/>
    <mergeCell ref="N1:O1"/>
  </mergeCells>
  <hyperlinks>
    <hyperlink ref="U9" r:id="rId1" xr:uid="{AF57C9E9-F825-4798-896E-5CE36E408514}"/>
    <hyperlink ref="U10" r:id="rId2" xr:uid="{23D9CA39-31B5-4DCA-862E-146984057336}"/>
    <hyperlink ref="U12" r:id="rId3" xr:uid="{E23BC97F-51CC-490B-BF32-58FF368DE7C6}"/>
    <hyperlink ref="U11" r:id="rId4" xr:uid="{23FC345D-8D49-4B85-A260-E4DC36D6DEA3}"/>
    <hyperlink ref="U13" r:id="rId5" xr:uid="{E947DD9E-6A34-4CEE-BBAF-C6273CB99DE4}"/>
    <hyperlink ref="U8" r:id="rId6" xr:uid="{B1EEA7E4-831F-4203-8D79-FCD707BA715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BFB1AEE-63C5-4CDE-9E2A-C155434C739A}">
          <x14:formula1>
            <xm:f>'Execution Status'!$A$1:$A$8</xm:f>
          </x14:formula1>
          <xm:sqref>S3:S47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695F3-520C-41DB-9352-2EAF4AAE7B36}">
  <sheetPr>
    <tabColor theme="7" tint="0.79998168889431442"/>
  </sheetPr>
  <dimension ref="A1:Y99"/>
  <sheetViews>
    <sheetView workbookViewId="0">
      <pane ySplit="2" topLeftCell="A66" activePane="bottomLeft" state="frozen"/>
      <selection pane="bottomLeft" activeCell="B58" sqref="B58:C70"/>
    </sheetView>
  </sheetViews>
  <sheetFormatPr defaultRowHeight="15"/>
  <cols>
    <col min="2" max="2" width="31.140625" customWidth="1"/>
    <col min="3" max="3" width="31.5703125" style="5" customWidth="1"/>
    <col min="4" max="4" width="22.42578125" style="5" hidden="1" customWidth="1"/>
    <col min="5" max="5" width="15.7109375" customWidth="1"/>
    <col min="6" max="6" width="14.42578125" hidden="1" customWidth="1"/>
    <col min="7" max="7" width="17" hidden="1" customWidth="1"/>
    <col min="8" max="8" width="15" hidden="1" customWidth="1"/>
    <col min="9" max="9" width="11.7109375" style="16" customWidth="1"/>
    <col min="10" max="10" width="18.42578125" hidden="1" customWidth="1"/>
    <col min="11" max="11" width="14.140625" customWidth="1"/>
    <col min="12" max="12" width="21.7109375" bestFit="1" customWidth="1"/>
    <col min="13" max="13" width="9" bestFit="1" customWidth="1"/>
    <col min="14" max="25" width="19.7109375" style="133" customWidth="1"/>
  </cols>
  <sheetData>
    <row r="1" spans="1:25" ht="18.75">
      <c r="N1" s="403" t="s">
        <v>75</v>
      </c>
      <c r="O1" s="404"/>
      <c r="P1" s="404"/>
      <c r="Q1" s="405"/>
      <c r="R1" s="406" t="s">
        <v>76</v>
      </c>
      <c r="S1" s="554"/>
      <c r="T1" s="554"/>
      <c r="U1" s="555"/>
      <c r="V1" s="409" t="s">
        <v>77</v>
      </c>
      <c r="W1" s="556"/>
    </row>
    <row r="2" spans="1:25" ht="63">
      <c r="A2" t="s">
        <v>491</v>
      </c>
      <c r="B2" s="136" t="s">
        <v>78</v>
      </c>
      <c r="C2" s="137" t="s">
        <v>79</v>
      </c>
      <c r="D2" s="137" t="s">
        <v>367</v>
      </c>
      <c r="E2" s="138" t="s">
        <v>368</v>
      </c>
      <c r="F2" s="138" t="s">
        <v>369</v>
      </c>
      <c r="G2" s="138" t="s">
        <v>370</v>
      </c>
      <c r="H2" s="138" t="s">
        <v>371</v>
      </c>
      <c r="I2" s="138" t="s">
        <v>85</v>
      </c>
      <c r="J2" s="137" t="s">
        <v>86</v>
      </c>
      <c r="K2" s="139" t="s">
        <v>192</v>
      </c>
      <c r="L2" s="139" t="s">
        <v>372</v>
      </c>
      <c r="M2" s="139" t="s">
        <v>373</v>
      </c>
      <c r="N2" s="131" t="s">
        <v>88</v>
      </c>
      <c r="O2" s="182" t="s">
        <v>89</v>
      </c>
      <c r="P2" s="182" t="s">
        <v>82</v>
      </c>
      <c r="Q2" s="182" t="s">
        <v>83</v>
      </c>
      <c r="R2" s="131" t="s">
        <v>88</v>
      </c>
      <c r="S2" s="182" t="s">
        <v>89</v>
      </c>
      <c r="T2" s="182" t="s">
        <v>82</v>
      </c>
      <c r="U2" s="182" t="s">
        <v>83</v>
      </c>
      <c r="V2" s="182" t="s">
        <v>82</v>
      </c>
      <c r="W2" s="182" t="s">
        <v>83</v>
      </c>
      <c r="X2" s="182" t="s">
        <v>91</v>
      </c>
      <c r="Y2" s="182" t="s">
        <v>92</v>
      </c>
    </row>
    <row r="3" spans="1:25" ht="15.75">
      <c r="B3" s="604" t="s">
        <v>492</v>
      </c>
      <c r="C3" s="63" t="s">
        <v>431</v>
      </c>
      <c r="D3" s="63" t="s">
        <v>56</v>
      </c>
      <c r="E3" s="64">
        <v>45743</v>
      </c>
      <c r="F3" s="64">
        <v>45743</v>
      </c>
      <c r="G3" s="65">
        <v>45737</v>
      </c>
      <c r="H3" s="65">
        <v>45737</v>
      </c>
      <c r="I3" s="66" t="s">
        <v>98</v>
      </c>
      <c r="J3" s="111" t="s">
        <v>382</v>
      </c>
      <c r="K3" s="66"/>
      <c r="L3" s="66"/>
      <c r="M3" s="67"/>
      <c r="N3" s="609" t="s">
        <v>493</v>
      </c>
      <c r="O3" s="421"/>
      <c r="P3" s="421"/>
      <c r="Q3" s="422"/>
      <c r="R3" s="420" t="s">
        <v>493</v>
      </c>
      <c r="S3" s="421"/>
      <c r="T3" s="421"/>
      <c r="U3" s="422"/>
      <c r="V3" s="414" t="s">
        <v>383</v>
      </c>
      <c r="W3" s="414" t="s">
        <v>494</v>
      </c>
      <c r="Y3" s="414" t="s">
        <v>495</v>
      </c>
    </row>
    <row r="4" spans="1:25" ht="15.75">
      <c r="B4" s="605"/>
      <c r="C4" s="54" t="s">
        <v>496</v>
      </c>
      <c r="D4" s="54" t="s">
        <v>56</v>
      </c>
      <c r="E4" s="55">
        <v>45743</v>
      </c>
      <c r="F4" s="55">
        <v>45743</v>
      </c>
      <c r="G4" s="56">
        <v>45737</v>
      </c>
      <c r="H4" s="56">
        <v>45737</v>
      </c>
      <c r="I4" s="57" t="s">
        <v>98</v>
      </c>
      <c r="J4" s="62" t="s">
        <v>388</v>
      </c>
      <c r="K4" s="57"/>
      <c r="L4" s="57"/>
      <c r="M4" s="68"/>
      <c r="N4" s="610"/>
      <c r="O4" s="424"/>
      <c r="P4" s="424"/>
      <c r="Q4" s="425"/>
      <c r="R4" s="423"/>
      <c r="S4" s="424"/>
      <c r="T4" s="424"/>
      <c r="U4" s="425"/>
      <c r="V4" s="560"/>
      <c r="W4" s="560"/>
      <c r="X4" s="181"/>
      <c r="Y4" s="560"/>
    </row>
    <row r="5" spans="1:25" ht="173.25">
      <c r="B5" s="605"/>
      <c r="C5" s="59" t="s">
        <v>497</v>
      </c>
      <c r="D5" s="54" t="s">
        <v>498</v>
      </c>
      <c r="E5" s="55">
        <v>45743</v>
      </c>
      <c r="F5" s="55">
        <v>45743</v>
      </c>
      <c r="G5" s="61">
        <v>45737</v>
      </c>
      <c r="H5" s="61">
        <v>45737</v>
      </c>
      <c r="I5" s="57" t="s">
        <v>98</v>
      </c>
      <c r="J5" s="51" t="s">
        <v>52</v>
      </c>
      <c r="K5" s="60">
        <v>494</v>
      </c>
      <c r="L5" s="149">
        <v>0.124</v>
      </c>
      <c r="M5" s="150">
        <v>0.14199999999999999</v>
      </c>
      <c r="N5" s="610"/>
      <c r="O5" s="424"/>
      <c r="P5" s="424"/>
      <c r="Q5" s="425"/>
      <c r="R5" s="423"/>
      <c r="S5" s="424"/>
      <c r="T5" s="424"/>
      <c r="U5" s="425"/>
      <c r="V5" s="560"/>
      <c r="W5" s="560"/>
      <c r="X5" s="181"/>
      <c r="Y5" s="560"/>
    </row>
    <row r="6" spans="1:25" ht="31.5">
      <c r="B6" s="605"/>
      <c r="C6" s="54" t="s">
        <v>499</v>
      </c>
      <c r="D6" s="54" t="s">
        <v>500</v>
      </c>
      <c r="E6" s="55">
        <v>45743</v>
      </c>
      <c r="F6" s="55">
        <v>45743</v>
      </c>
      <c r="G6" s="56">
        <v>45737</v>
      </c>
      <c r="H6" s="56">
        <v>45737</v>
      </c>
      <c r="I6" s="57" t="s">
        <v>98</v>
      </c>
      <c r="J6" s="58"/>
      <c r="K6" s="60">
        <v>494</v>
      </c>
      <c r="L6" s="149">
        <v>0.19800000000000001</v>
      </c>
      <c r="M6" s="150">
        <v>0.23799999999999999</v>
      </c>
      <c r="N6" s="610"/>
      <c r="O6" s="424"/>
      <c r="P6" s="424"/>
      <c r="Q6" s="425"/>
      <c r="R6" s="423"/>
      <c r="S6" s="424"/>
      <c r="T6" s="424"/>
      <c r="U6" s="425"/>
      <c r="V6" s="560"/>
      <c r="W6" s="560"/>
      <c r="X6" s="181"/>
      <c r="Y6" s="560"/>
    </row>
    <row r="7" spans="1:25" ht="15.75">
      <c r="B7" s="605"/>
      <c r="C7" s="54" t="s">
        <v>501</v>
      </c>
      <c r="D7" s="54" t="s">
        <v>500</v>
      </c>
      <c r="E7" s="55">
        <v>45743</v>
      </c>
      <c r="F7" s="55">
        <v>45743</v>
      </c>
      <c r="G7" s="56">
        <v>45737</v>
      </c>
      <c r="H7" s="56">
        <v>45737</v>
      </c>
      <c r="I7" s="57" t="s">
        <v>98</v>
      </c>
      <c r="J7" s="58"/>
      <c r="K7" s="60">
        <v>494</v>
      </c>
      <c r="L7" s="149">
        <v>0.23699999999999999</v>
      </c>
      <c r="M7" s="150">
        <v>0.27700000000000002</v>
      </c>
      <c r="N7" s="610"/>
      <c r="O7" s="424"/>
      <c r="P7" s="424"/>
      <c r="Q7" s="425"/>
      <c r="R7" s="423"/>
      <c r="S7" s="424"/>
      <c r="T7" s="424"/>
      <c r="U7" s="425"/>
      <c r="V7" s="560"/>
      <c r="W7" s="560"/>
      <c r="X7" s="181"/>
      <c r="Y7" s="560"/>
    </row>
    <row r="8" spans="1:25" ht="31.5">
      <c r="B8" s="605"/>
      <c r="C8" s="54" t="s">
        <v>502</v>
      </c>
      <c r="D8" s="54" t="s">
        <v>503</v>
      </c>
      <c r="E8" s="55">
        <v>45743</v>
      </c>
      <c r="F8" s="55">
        <v>45743</v>
      </c>
      <c r="G8" s="56">
        <v>45737</v>
      </c>
      <c r="H8" s="56">
        <v>45737</v>
      </c>
      <c r="I8" s="57" t="s">
        <v>98</v>
      </c>
      <c r="J8" s="58"/>
      <c r="K8" s="60">
        <v>494</v>
      </c>
      <c r="L8" s="149">
        <v>0.96</v>
      </c>
      <c r="M8" s="150">
        <v>1.117</v>
      </c>
      <c r="N8" s="610"/>
      <c r="O8" s="424"/>
      <c r="P8" s="424"/>
      <c r="Q8" s="425"/>
      <c r="R8" s="423"/>
      <c r="S8" s="424"/>
      <c r="T8" s="424"/>
      <c r="U8" s="425"/>
      <c r="V8" s="560"/>
      <c r="W8" s="560"/>
      <c r="X8" s="181"/>
      <c r="Y8" s="560"/>
    </row>
    <row r="9" spans="1:25" ht="15.75">
      <c r="B9" s="605"/>
      <c r="C9" s="54" t="s">
        <v>504</v>
      </c>
      <c r="D9" s="54" t="s">
        <v>500</v>
      </c>
      <c r="E9" s="55">
        <v>45743</v>
      </c>
      <c r="F9" s="55">
        <v>45743</v>
      </c>
      <c r="G9" s="55">
        <v>45743</v>
      </c>
      <c r="H9" s="55">
        <v>45743</v>
      </c>
      <c r="I9" s="57" t="s">
        <v>98</v>
      </c>
      <c r="J9" s="58"/>
      <c r="K9" s="60">
        <v>494</v>
      </c>
      <c r="L9" s="149">
        <v>0.60299999999999998</v>
      </c>
      <c r="M9" s="150">
        <v>0.93300000000000005</v>
      </c>
      <c r="N9" s="610"/>
      <c r="O9" s="424"/>
      <c r="P9" s="424"/>
      <c r="Q9" s="425"/>
      <c r="R9" s="423"/>
      <c r="S9" s="424"/>
      <c r="T9" s="424"/>
      <c r="U9" s="425"/>
      <c r="V9" s="560"/>
      <c r="W9" s="560"/>
      <c r="X9" s="181"/>
      <c r="Y9" s="560"/>
    </row>
    <row r="10" spans="1:25" ht="15.75">
      <c r="B10" s="605"/>
      <c r="C10" s="54" t="s">
        <v>505</v>
      </c>
      <c r="D10" s="54" t="s">
        <v>506</v>
      </c>
      <c r="E10" s="55">
        <v>45743</v>
      </c>
      <c r="F10" s="55">
        <v>45743</v>
      </c>
      <c r="G10" s="55">
        <v>45743</v>
      </c>
      <c r="H10" s="55">
        <v>45743</v>
      </c>
      <c r="I10" s="57" t="s">
        <v>98</v>
      </c>
      <c r="J10" s="58"/>
      <c r="K10" s="60">
        <v>494</v>
      </c>
      <c r="L10" s="149">
        <v>0.76200000000000001</v>
      </c>
      <c r="M10" s="150">
        <v>0.88900000000000001</v>
      </c>
      <c r="N10" s="610"/>
      <c r="O10" s="424"/>
      <c r="P10" s="424"/>
      <c r="Q10" s="425"/>
      <c r="R10" s="423"/>
      <c r="S10" s="424"/>
      <c r="T10" s="424"/>
      <c r="U10" s="425"/>
      <c r="V10" s="560"/>
      <c r="W10" s="560"/>
      <c r="X10" s="181"/>
      <c r="Y10" s="560"/>
    </row>
    <row r="11" spans="1:25" ht="31.5">
      <c r="B11" s="606"/>
      <c r="C11" s="74" t="s">
        <v>507</v>
      </c>
      <c r="D11" s="74" t="s">
        <v>503</v>
      </c>
      <c r="E11" s="75">
        <v>45743</v>
      </c>
      <c r="F11" s="75">
        <v>45743</v>
      </c>
      <c r="G11" s="75">
        <v>45743</v>
      </c>
      <c r="H11" s="75">
        <v>45743</v>
      </c>
      <c r="I11" s="76" t="s">
        <v>98</v>
      </c>
      <c r="J11" s="77"/>
      <c r="K11" s="78">
        <v>494</v>
      </c>
      <c r="L11" s="151">
        <v>1.1970000000000001</v>
      </c>
      <c r="M11" s="152">
        <v>1.343</v>
      </c>
      <c r="N11" s="610"/>
      <c r="O11" s="424"/>
      <c r="P11" s="424"/>
      <c r="Q11" s="425"/>
      <c r="R11" s="423"/>
      <c r="S11" s="424"/>
      <c r="T11" s="424"/>
      <c r="U11" s="425"/>
      <c r="V11" s="560"/>
      <c r="W11" s="560"/>
      <c r="X11" s="181"/>
      <c r="Y11" s="560"/>
    </row>
    <row r="12" spans="1:25" ht="15.75">
      <c r="B12" s="604" t="s">
        <v>508</v>
      </c>
      <c r="C12" s="63" t="s">
        <v>431</v>
      </c>
      <c r="D12" s="63"/>
      <c r="E12" s="64">
        <v>45743</v>
      </c>
      <c r="F12" s="64">
        <v>45743</v>
      </c>
      <c r="G12" s="65">
        <v>45737</v>
      </c>
      <c r="H12" s="65">
        <v>45737</v>
      </c>
      <c r="I12" s="66" t="s">
        <v>98</v>
      </c>
      <c r="J12" s="79"/>
      <c r="K12" s="66"/>
      <c r="L12" s="66"/>
      <c r="M12" s="67"/>
      <c r="N12" s="610"/>
      <c r="O12" s="424"/>
      <c r="P12" s="424"/>
      <c r="Q12" s="425"/>
      <c r="R12" s="423"/>
      <c r="S12" s="424"/>
      <c r="T12" s="424"/>
      <c r="U12" s="425"/>
      <c r="V12" s="560"/>
      <c r="W12" s="560"/>
      <c r="X12" s="181"/>
      <c r="Y12" s="560"/>
    </row>
    <row r="13" spans="1:25" ht="15.75">
      <c r="B13" s="605"/>
      <c r="C13" s="54" t="s">
        <v>496</v>
      </c>
      <c r="D13" s="54"/>
      <c r="E13" s="55">
        <v>45743</v>
      </c>
      <c r="F13" s="55">
        <v>45743</v>
      </c>
      <c r="G13" s="56">
        <v>45737</v>
      </c>
      <c r="H13" s="56">
        <v>45737</v>
      </c>
      <c r="I13" s="57" t="s">
        <v>98</v>
      </c>
      <c r="J13" s="58"/>
      <c r="K13" s="57"/>
      <c r="L13" s="57"/>
      <c r="M13" s="68"/>
      <c r="N13" s="610"/>
      <c r="O13" s="424"/>
      <c r="P13" s="424"/>
      <c r="Q13" s="425"/>
      <c r="R13" s="423"/>
      <c r="S13" s="424"/>
      <c r="T13" s="424"/>
      <c r="U13" s="425"/>
      <c r="V13" s="560"/>
      <c r="W13" s="560"/>
      <c r="X13" s="181"/>
      <c r="Y13" s="560"/>
    </row>
    <row r="14" spans="1:25" ht="15.75">
      <c r="B14" s="605"/>
      <c r="C14" s="54" t="s">
        <v>497</v>
      </c>
      <c r="D14" s="54" t="s">
        <v>500</v>
      </c>
      <c r="E14" s="55">
        <v>45743</v>
      </c>
      <c r="F14" s="55">
        <v>45743</v>
      </c>
      <c r="G14" s="56">
        <v>45737</v>
      </c>
      <c r="H14" s="56">
        <v>45737</v>
      </c>
      <c r="I14" s="57" t="s">
        <v>98</v>
      </c>
      <c r="J14" s="58"/>
      <c r="K14" s="60">
        <v>285</v>
      </c>
      <c r="L14" s="149">
        <v>0.13</v>
      </c>
      <c r="M14" s="150">
        <v>0.151</v>
      </c>
      <c r="N14" s="610"/>
      <c r="O14" s="424"/>
      <c r="P14" s="424"/>
      <c r="Q14" s="425"/>
      <c r="R14" s="423"/>
      <c r="S14" s="424"/>
      <c r="T14" s="424"/>
      <c r="U14" s="425"/>
      <c r="V14" s="560"/>
      <c r="W14" s="560"/>
      <c r="X14" s="181"/>
      <c r="Y14" s="560"/>
    </row>
    <row r="15" spans="1:25" ht="15.75">
      <c r="B15" s="605"/>
      <c r="C15" s="54" t="s">
        <v>509</v>
      </c>
      <c r="D15" s="54" t="s">
        <v>500</v>
      </c>
      <c r="E15" s="55">
        <v>45743</v>
      </c>
      <c r="F15" s="55">
        <v>45743</v>
      </c>
      <c r="G15" s="56">
        <v>45737</v>
      </c>
      <c r="H15" s="56">
        <v>45737</v>
      </c>
      <c r="I15" s="57" t="s">
        <v>98</v>
      </c>
      <c r="J15" s="58"/>
      <c r="K15" s="60">
        <v>285</v>
      </c>
      <c r="L15" s="149">
        <v>0.20100000000000001</v>
      </c>
      <c r="M15" s="150">
        <v>0.23799999999999999</v>
      </c>
      <c r="N15" s="610"/>
      <c r="O15" s="424"/>
      <c r="P15" s="424"/>
      <c r="Q15" s="425"/>
      <c r="R15" s="423"/>
      <c r="S15" s="424"/>
      <c r="T15" s="424"/>
      <c r="U15" s="425"/>
      <c r="V15" s="560"/>
      <c r="W15" s="560"/>
      <c r="X15" s="181"/>
      <c r="Y15" s="560"/>
    </row>
    <row r="16" spans="1:25" ht="31.5">
      <c r="B16" s="605"/>
      <c r="C16" s="54" t="s">
        <v>510</v>
      </c>
      <c r="D16" s="54" t="s">
        <v>500</v>
      </c>
      <c r="E16" s="55">
        <v>45743</v>
      </c>
      <c r="F16" s="55">
        <v>45743</v>
      </c>
      <c r="G16" s="56">
        <v>45737</v>
      </c>
      <c r="H16" s="56">
        <v>45737</v>
      </c>
      <c r="I16" s="57" t="s">
        <v>98</v>
      </c>
      <c r="J16" s="58"/>
      <c r="K16" s="60">
        <v>285</v>
      </c>
      <c r="L16" s="149">
        <v>0.23</v>
      </c>
      <c r="M16" s="150">
        <v>0.27100000000000002</v>
      </c>
      <c r="N16" s="610"/>
      <c r="O16" s="424"/>
      <c r="P16" s="424"/>
      <c r="Q16" s="425"/>
      <c r="R16" s="423"/>
      <c r="S16" s="424"/>
      <c r="T16" s="424"/>
      <c r="U16" s="425"/>
      <c r="V16" s="560"/>
      <c r="W16" s="560"/>
      <c r="X16" s="181"/>
      <c r="Y16" s="560"/>
    </row>
    <row r="17" spans="2:25" ht="15.75">
      <c r="B17" s="605"/>
      <c r="C17" s="54" t="s">
        <v>502</v>
      </c>
      <c r="D17" s="54" t="s">
        <v>500</v>
      </c>
      <c r="E17" s="55">
        <v>45743</v>
      </c>
      <c r="F17" s="55">
        <v>45743</v>
      </c>
      <c r="G17" s="56">
        <v>45737</v>
      </c>
      <c r="H17" s="56">
        <v>45737</v>
      </c>
      <c r="I17" s="57" t="s">
        <v>98</v>
      </c>
      <c r="J17" s="58"/>
      <c r="K17" s="60">
        <v>285</v>
      </c>
      <c r="L17" s="149">
        <v>0.95499999999999996</v>
      </c>
      <c r="M17" s="150">
        <v>1.0580000000000001</v>
      </c>
      <c r="N17" s="610"/>
      <c r="O17" s="424"/>
      <c r="P17" s="424"/>
      <c r="Q17" s="425"/>
      <c r="R17" s="423"/>
      <c r="S17" s="424"/>
      <c r="T17" s="424"/>
      <c r="U17" s="425"/>
      <c r="V17" s="560"/>
      <c r="W17" s="560"/>
      <c r="X17" s="181"/>
      <c r="Y17" s="560"/>
    </row>
    <row r="18" spans="2:25" ht="15.75">
      <c r="B18" s="605"/>
      <c r="C18" s="54" t="s">
        <v>504</v>
      </c>
      <c r="D18" s="54" t="s">
        <v>500</v>
      </c>
      <c r="E18" s="55">
        <v>45743</v>
      </c>
      <c r="F18" s="55">
        <v>45743</v>
      </c>
      <c r="G18" s="55">
        <v>45743</v>
      </c>
      <c r="H18" s="55">
        <v>45743</v>
      </c>
      <c r="I18" s="57" t="s">
        <v>98</v>
      </c>
      <c r="J18" s="58"/>
      <c r="K18" s="60">
        <v>285</v>
      </c>
      <c r="L18" s="149">
        <v>0.58399999999999996</v>
      </c>
      <c r="M18" s="150">
        <v>0.89</v>
      </c>
      <c r="N18" s="610"/>
      <c r="O18" s="424"/>
      <c r="P18" s="424"/>
      <c r="Q18" s="425"/>
      <c r="R18" s="423"/>
      <c r="S18" s="424"/>
      <c r="T18" s="424"/>
      <c r="U18" s="425"/>
      <c r="V18" s="560"/>
      <c r="W18" s="560"/>
      <c r="X18" s="181"/>
      <c r="Y18" s="560"/>
    </row>
    <row r="19" spans="2:25" ht="15.75">
      <c r="B19" s="605"/>
      <c r="C19" s="54" t="s">
        <v>505</v>
      </c>
      <c r="D19" s="54" t="s">
        <v>500</v>
      </c>
      <c r="E19" s="55">
        <v>45743</v>
      </c>
      <c r="F19" s="55">
        <v>45743</v>
      </c>
      <c r="G19" s="55">
        <v>45743</v>
      </c>
      <c r="H19" s="55">
        <v>45743</v>
      </c>
      <c r="I19" s="57" t="s">
        <v>98</v>
      </c>
      <c r="J19" s="58"/>
      <c r="K19" s="60">
        <v>285</v>
      </c>
      <c r="L19" s="149">
        <v>0.77500000000000002</v>
      </c>
      <c r="M19" s="150">
        <v>0.89600000000000002</v>
      </c>
      <c r="N19" s="610"/>
      <c r="O19" s="424"/>
      <c r="P19" s="424"/>
      <c r="Q19" s="425"/>
      <c r="R19" s="423"/>
      <c r="S19" s="424"/>
      <c r="T19" s="424"/>
      <c r="U19" s="425"/>
      <c r="V19" s="560"/>
      <c r="W19" s="560"/>
      <c r="X19" s="181"/>
      <c r="Y19" s="560"/>
    </row>
    <row r="20" spans="2:25" ht="15.75">
      <c r="B20" s="607"/>
      <c r="C20" s="69" t="s">
        <v>511</v>
      </c>
      <c r="D20" s="69" t="s">
        <v>500</v>
      </c>
      <c r="E20" s="70">
        <v>45743</v>
      </c>
      <c r="F20" s="70">
        <v>45743</v>
      </c>
      <c r="G20" s="70">
        <v>45743</v>
      </c>
      <c r="H20" s="70">
        <v>45743</v>
      </c>
      <c r="I20" s="71" t="s">
        <v>98</v>
      </c>
      <c r="J20" s="72"/>
      <c r="K20" s="73">
        <v>285</v>
      </c>
      <c r="L20" s="153">
        <v>1.1659999999999999</v>
      </c>
      <c r="M20" s="154">
        <v>1.298</v>
      </c>
      <c r="N20" s="610"/>
      <c r="O20" s="424"/>
      <c r="P20" s="424"/>
      <c r="Q20" s="425"/>
      <c r="R20" s="423"/>
      <c r="S20" s="424"/>
      <c r="T20" s="424"/>
      <c r="U20" s="425"/>
      <c r="V20" s="560"/>
      <c r="W20" s="560"/>
      <c r="X20" s="181"/>
      <c r="Y20" s="560"/>
    </row>
    <row r="21" spans="2:25" ht="15.75">
      <c r="B21" s="608" t="s">
        <v>512</v>
      </c>
      <c r="C21" s="140" t="s">
        <v>431</v>
      </c>
      <c r="D21" s="140"/>
      <c r="E21" s="141">
        <v>45743</v>
      </c>
      <c r="F21" s="141">
        <v>45743</v>
      </c>
      <c r="G21" s="142">
        <v>45737</v>
      </c>
      <c r="H21" s="142">
        <v>45737</v>
      </c>
      <c r="I21" s="143" t="s">
        <v>98</v>
      </c>
      <c r="J21" s="144"/>
      <c r="K21" s="143"/>
      <c r="L21" s="143"/>
      <c r="M21" s="145"/>
      <c r="N21" s="610"/>
      <c r="O21" s="424"/>
      <c r="P21" s="424"/>
      <c r="Q21" s="425"/>
      <c r="R21" s="423"/>
      <c r="S21" s="424"/>
      <c r="T21" s="424"/>
      <c r="U21" s="425"/>
      <c r="V21" s="560"/>
      <c r="W21" s="560"/>
      <c r="X21" s="181"/>
      <c r="Y21" s="560"/>
    </row>
    <row r="22" spans="2:25" ht="15.75">
      <c r="B22" s="605"/>
      <c r="C22" s="54" t="s">
        <v>496</v>
      </c>
      <c r="D22" s="54"/>
      <c r="E22" s="55">
        <v>45743</v>
      </c>
      <c r="F22" s="55">
        <v>45743</v>
      </c>
      <c r="G22" s="56">
        <v>45737</v>
      </c>
      <c r="H22" s="56">
        <v>45737</v>
      </c>
      <c r="I22" s="57" t="s">
        <v>98</v>
      </c>
      <c r="J22" s="58"/>
      <c r="K22" s="57"/>
      <c r="L22" s="57"/>
      <c r="M22" s="68"/>
      <c r="N22" s="610"/>
      <c r="O22" s="424"/>
      <c r="P22" s="424"/>
      <c r="Q22" s="425"/>
      <c r="R22" s="423"/>
      <c r="S22" s="424"/>
      <c r="T22" s="424"/>
      <c r="U22" s="425"/>
      <c r="V22" s="560"/>
      <c r="W22" s="560"/>
      <c r="X22" s="181"/>
      <c r="Y22" s="560"/>
    </row>
    <row r="23" spans="2:25" ht="173.25">
      <c r="B23" s="605"/>
      <c r="C23" s="59" t="s">
        <v>497</v>
      </c>
      <c r="D23" s="54" t="s">
        <v>513</v>
      </c>
      <c r="E23" s="55">
        <v>45743</v>
      </c>
      <c r="F23" s="55">
        <v>45743</v>
      </c>
      <c r="G23" s="61">
        <v>45737</v>
      </c>
      <c r="H23" s="61">
        <v>45737</v>
      </c>
      <c r="I23" s="57" t="s">
        <v>98</v>
      </c>
      <c r="J23" s="58"/>
      <c r="K23" s="60">
        <v>399</v>
      </c>
      <c r="L23" s="149">
        <v>0.124</v>
      </c>
      <c r="M23" s="150">
        <v>0.14799999999999999</v>
      </c>
      <c r="N23" s="610"/>
      <c r="O23" s="424"/>
      <c r="P23" s="424"/>
      <c r="Q23" s="425"/>
      <c r="R23" s="423"/>
      <c r="S23" s="424"/>
      <c r="T23" s="424"/>
      <c r="U23" s="425"/>
      <c r="V23" s="560"/>
      <c r="W23" s="560"/>
      <c r="X23" s="181"/>
      <c r="Y23" s="560"/>
    </row>
    <row r="24" spans="2:25" ht="31.5">
      <c r="B24" s="605"/>
      <c r="C24" s="54" t="s">
        <v>514</v>
      </c>
      <c r="D24" s="54" t="s">
        <v>506</v>
      </c>
      <c r="E24" s="55">
        <v>45743</v>
      </c>
      <c r="F24" s="55">
        <v>45743</v>
      </c>
      <c r="G24" s="56">
        <v>45737</v>
      </c>
      <c r="H24" s="56">
        <v>45737</v>
      </c>
      <c r="I24" s="57" t="s">
        <v>98</v>
      </c>
      <c r="J24" s="58"/>
      <c r="K24" s="60">
        <v>399</v>
      </c>
      <c r="L24" s="149">
        <v>0.19900000000000001</v>
      </c>
      <c r="M24" s="150">
        <v>0.249</v>
      </c>
      <c r="N24" s="610"/>
      <c r="O24" s="424"/>
      <c r="P24" s="424"/>
      <c r="Q24" s="425"/>
      <c r="R24" s="423"/>
      <c r="S24" s="424"/>
      <c r="T24" s="424"/>
      <c r="U24" s="425"/>
      <c r="V24" s="560"/>
      <c r="W24" s="560"/>
      <c r="X24" s="181"/>
      <c r="Y24" s="560"/>
    </row>
    <row r="25" spans="2:25" ht="15.75">
      <c r="B25" s="605"/>
      <c r="C25" s="54" t="s">
        <v>501</v>
      </c>
      <c r="D25" s="54" t="s">
        <v>506</v>
      </c>
      <c r="E25" s="55">
        <v>45743</v>
      </c>
      <c r="F25" s="55">
        <v>45743</v>
      </c>
      <c r="G25" s="56">
        <v>45737</v>
      </c>
      <c r="H25" s="56">
        <v>45737</v>
      </c>
      <c r="I25" s="57" t="s">
        <v>98</v>
      </c>
      <c r="J25" s="58"/>
      <c r="K25" s="60">
        <v>399</v>
      </c>
      <c r="L25" s="149">
        <v>0.46400000000000002</v>
      </c>
      <c r="M25" s="150">
        <v>0.53600000000000003</v>
      </c>
      <c r="N25" s="610"/>
      <c r="O25" s="424"/>
      <c r="P25" s="424"/>
      <c r="Q25" s="425"/>
      <c r="R25" s="423"/>
      <c r="S25" s="424"/>
      <c r="T25" s="424"/>
      <c r="U25" s="425"/>
      <c r="V25" s="560"/>
      <c r="W25" s="560"/>
      <c r="X25" s="181"/>
      <c r="Y25" s="560"/>
    </row>
    <row r="26" spans="2:25" ht="31.5">
      <c r="B26" s="605"/>
      <c r="C26" s="54" t="s">
        <v>502</v>
      </c>
      <c r="D26" s="54" t="s">
        <v>503</v>
      </c>
      <c r="E26" s="55">
        <v>45743</v>
      </c>
      <c r="F26" s="55">
        <v>45743</v>
      </c>
      <c r="G26" s="56">
        <v>45737</v>
      </c>
      <c r="H26" s="56">
        <v>45737</v>
      </c>
      <c r="I26" s="57" t="s">
        <v>98</v>
      </c>
      <c r="J26" s="58"/>
      <c r="K26" s="60">
        <v>399</v>
      </c>
      <c r="L26" s="149">
        <v>1.381</v>
      </c>
      <c r="M26" s="150">
        <v>1.5209999999999999</v>
      </c>
      <c r="N26" s="610"/>
      <c r="O26" s="424"/>
      <c r="P26" s="424"/>
      <c r="Q26" s="425"/>
      <c r="R26" s="423"/>
      <c r="S26" s="424"/>
      <c r="T26" s="424"/>
      <c r="U26" s="425"/>
      <c r="V26" s="560"/>
      <c r="W26" s="560"/>
      <c r="X26" s="181"/>
      <c r="Y26" s="560"/>
    </row>
    <row r="27" spans="2:25" ht="15.75">
      <c r="B27" s="605"/>
      <c r="C27" s="54" t="s">
        <v>515</v>
      </c>
      <c r="D27" s="54" t="s">
        <v>506</v>
      </c>
      <c r="E27" s="55">
        <v>45743</v>
      </c>
      <c r="F27" s="55">
        <v>45743</v>
      </c>
      <c r="G27" s="55">
        <v>45743</v>
      </c>
      <c r="H27" s="55">
        <v>45743</v>
      </c>
      <c r="I27" s="57" t="s">
        <v>98</v>
      </c>
      <c r="J27" s="58"/>
      <c r="K27" s="60">
        <v>399</v>
      </c>
      <c r="L27" s="149">
        <v>0.57299999999999995</v>
      </c>
      <c r="M27" s="150">
        <v>0.89600000000000002</v>
      </c>
      <c r="N27" s="610"/>
      <c r="O27" s="424"/>
      <c r="P27" s="424"/>
      <c r="Q27" s="425"/>
      <c r="R27" s="423"/>
      <c r="S27" s="424"/>
      <c r="T27" s="424"/>
      <c r="U27" s="425"/>
      <c r="V27" s="560"/>
      <c r="W27" s="560"/>
      <c r="X27" s="181"/>
      <c r="Y27" s="560"/>
    </row>
    <row r="28" spans="2:25" ht="15.75">
      <c r="B28" s="605"/>
      <c r="C28" s="54" t="s">
        <v>505</v>
      </c>
      <c r="D28" s="54" t="s">
        <v>506</v>
      </c>
      <c r="E28" s="55">
        <v>45743</v>
      </c>
      <c r="F28" s="55">
        <v>45743</v>
      </c>
      <c r="G28" s="55">
        <v>45743</v>
      </c>
      <c r="H28" s="55">
        <v>45743</v>
      </c>
      <c r="I28" s="57" t="s">
        <v>98</v>
      </c>
      <c r="J28" s="58"/>
      <c r="K28" s="60">
        <v>399</v>
      </c>
      <c r="L28" s="149">
        <v>1.165</v>
      </c>
      <c r="M28" s="150">
        <v>1.385</v>
      </c>
      <c r="N28" s="610"/>
      <c r="O28" s="424"/>
      <c r="P28" s="424"/>
      <c r="Q28" s="425"/>
      <c r="R28" s="423"/>
      <c r="S28" s="424"/>
      <c r="T28" s="424"/>
      <c r="U28" s="425"/>
      <c r="V28" s="560"/>
      <c r="W28" s="560"/>
      <c r="X28" s="181"/>
      <c r="Y28" s="560"/>
    </row>
    <row r="29" spans="2:25" ht="15.75">
      <c r="B29" s="606"/>
      <c r="C29" s="74" t="s">
        <v>507</v>
      </c>
      <c r="D29" s="74" t="s">
        <v>506</v>
      </c>
      <c r="E29" s="75">
        <v>45743</v>
      </c>
      <c r="F29" s="75">
        <v>45743</v>
      </c>
      <c r="G29" s="75">
        <v>45743</v>
      </c>
      <c r="H29" s="75">
        <v>45743</v>
      </c>
      <c r="I29" s="76" t="s">
        <v>98</v>
      </c>
      <c r="J29" s="77"/>
      <c r="K29" s="78">
        <v>399</v>
      </c>
      <c r="L29" s="151">
        <v>1.1719999999999999</v>
      </c>
      <c r="M29" s="152">
        <v>1.2869999999999999</v>
      </c>
      <c r="N29" s="610"/>
      <c r="O29" s="424"/>
      <c r="P29" s="424"/>
      <c r="Q29" s="425"/>
      <c r="R29" s="423"/>
      <c r="S29" s="424"/>
      <c r="T29" s="424"/>
      <c r="U29" s="425"/>
      <c r="V29" s="560"/>
      <c r="W29" s="560"/>
      <c r="X29" s="181"/>
      <c r="Y29" s="560"/>
    </row>
    <row r="30" spans="2:25" ht="15.75">
      <c r="B30" s="604" t="s">
        <v>516</v>
      </c>
      <c r="C30" s="63" t="s">
        <v>431</v>
      </c>
      <c r="D30" s="63"/>
      <c r="E30" s="64">
        <v>45743</v>
      </c>
      <c r="F30" s="64">
        <v>45743</v>
      </c>
      <c r="G30" s="65">
        <v>45737</v>
      </c>
      <c r="H30" s="65">
        <v>45737</v>
      </c>
      <c r="I30" s="66" t="s">
        <v>98</v>
      </c>
      <c r="J30" s="79"/>
      <c r="K30" s="66"/>
      <c r="L30" s="66"/>
      <c r="M30" s="67"/>
      <c r="N30" s="610"/>
      <c r="O30" s="424"/>
      <c r="P30" s="424"/>
      <c r="Q30" s="425"/>
      <c r="R30" s="423"/>
      <c r="S30" s="424"/>
      <c r="T30" s="424"/>
      <c r="U30" s="425"/>
      <c r="V30" s="560"/>
      <c r="W30" s="560"/>
      <c r="X30" s="181"/>
      <c r="Y30" s="560"/>
    </row>
    <row r="31" spans="2:25" ht="15.75">
      <c r="B31" s="605"/>
      <c r="C31" s="54" t="s">
        <v>496</v>
      </c>
      <c r="D31" s="54"/>
      <c r="E31" s="55">
        <v>45743</v>
      </c>
      <c r="F31" s="55">
        <v>45743</v>
      </c>
      <c r="G31" s="56">
        <v>45737</v>
      </c>
      <c r="H31" s="56">
        <v>45737</v>
      </c>
      <c r="I31" s="57" t="s">
        <v>98</v>
      </c>
      <c r="J31" s="58"/>
      <c r="K31" s="57"/>
      <c r="L31" s="57"/>
      <c r="M31" s="68"/>
      <c r="N31" s="610"/>
      <c r="O31" s="424"/>
      <c r="P31" s="424"/>
      <c r="Q31" s="425"/>
      <c r="R31" s="423"/>
      <c r="S31" s="424"/>
      <c r="T31" s="424"/>
      <c r="U31" s="425"/>
      <c r="V31" s="560"/>
      <c r="W31" s="560"/>
      <c r="X31" s="181"/>
      <c r="Y31" s="560"/>
    </row>
    <row r="32" spans="2:25" ht="15.75">
      <c r="B32" s="605"/>
      <c r="C32" s="59" t="s">
        <v>497</v>
      </c>
      <c r="D32" s="54" t="s">
        <v>500</v>
      </c>
      <c r="E32" s="55">
        <v>45743</v>
      </c>
      <c r="F32" s="55">
        <v>45743</v>
      </c>
      <c r="G32" s="56">
        <v>45737</v>
      </c>
      <c r="H32" s="56">
        <v>45737</v>
      </c>
      <c r="I32" s="57" t="s">
        <v>98</v>
      </c>
      <c r="J32" s="58"/>
      <c r="K32" s="60">
        <v>494</v>
      </c>
      <c r="L32" s="149">
        <v>0.122</v>
      </c>
      <c r="M32" s="150">
        <v>0.152</v>
      </c>
      <c r="N32" s="610"/>
      <c r="O32" s="424"/>
      <c r="P32" s="424"/>
      <c r="Q32" s="425"/>
      <c r="R32" s="423"/>
      <c r="S32" s="424"/>
      <c r="T32" s="424"/>
      <c r="U32" s="425"/>
      <c r="V32" s="560"/>
      <c r="W32" s="560"/>
      <c r="X32" s="181"/>
      <c r="Y32" s="560"/>
    </row>
    <row r="33" spans="2:25" ht="31.5">
      <c r="B33" s="605"/>
      <c r="C33" s="54" t="s">
        <v>517</v>
      </c>
      <c r="D33" s="54" t="s">
        <v>506</v>
      </c>
      <c r="E33" s="55">
        <v>45743</v>
      </c>
      <c r="F33" s="55">
        <v>45743</v>
      </c>
      <c r="G33" s="61">
        <v>45737</v>
      </c>
      <c r="H33" s="61">
        <v>45737</v>
      </c>
      <c r="I33" s="57" t="s">
        <v>98</v>
      </c>
      <c r="J33" s="58"/>
      <c r="K33" s="60">
        <v>494</v>
      </c>
      <c r="L33" s="149">
        <v>0.19900000000000001</v>
      </c>
      <c r="M33" s="150">
        <v>0.23499999999999999</v>
      </c>
      <c r="N33" s="610"/>
      <c r="O33" s="424"/>
      <c r="P33" s="424"/>
      <c r="Q33" s="425"/>
      <c r="R33" s="423"/>
      <c r="S33" s="424"/>
      <c r="T33" s="424"/>
      <c r="U33" s="425"/>
      <c r="V33" s="560"/>
      <c r="W33" s="560"/>
      <c r="X33" s="181"/>
      <c r="Y33" s="560"/>
    </row>
    <row r="34" spans="2:25" ht="15.75">
      <c r="B34" s="605"/>
      <c r="C34" s="54" t="s">
        <v>501</v>
      </c>
      <c r="D34" s="54" t="s">
        <v>500</v>
      </c>
      <c r="E34" s="55">
        <v>45743</v>
      </c>
      <c r="F34" s="55">
        <v>45743</v>
      </c>
      <c r="G34" s="56">
        <v>45737</v>
      </c>
      <c r="H34" s="56">
        <v>45737</v>
      </c>
      <c r="I34" s="57" t="s">
        <v>98</v>
      </c>
      <c r="J34" s="58"/>
      <c r="K34" s="60">
        <v>494</v>
      </c>
      <c r="L34" s="149">
        <v>0.55600000000000005</v>
      </c>
      <c r="M34" s="150">
        <v>0.64400000000000002</v>
      </c>
      <c r="N34" s="610"/>
      <c r="O34" s="424"/>
      <c r="P34" s="424"/>
      <c r="Q34" s="425"/>
      <c r="R34" s="423"/>
      <c r="S34" s="424"/>
      <c r="T34" s="424"/>
      <c r="U34" s="425"/>
      <c r="V34" s="560"/>
      <c r="W34" s="560"/>
      <c r="X34" s="181"/>
      <c r="Y34" s="560"/>
    </row>
    <row r="35" spans="2:25" ht="15.75">
      <c r="B35" s="605"/>
      <c r="C35" s="54" t="s">
        <v>502</v>
      </c>
      <c r="D35" s="54" t="s">
        <v>506</v>
      </c>
      <c r="E35" s="55">
        <v>45743</v>
      </c>
      <c r="F35" s="55">
        <v>45743</v>
      </c>
      <c r="G35" s="56">
        <v>45737</v>
      </c>
      <c r="H35" s="56">
        <v>45737</v>
      </c>
      <c r="I35" s="57" t="s">
        <v>98</v>
      </c>
      <c r="J35" s="58"/>
      <c r="K35" s="60">
        <v>494</v>
      </c>
      <c r="L35" s="149">
        <v>1.335</v>
      </c>
      <c r="M35" s="150">
        <v>1.5049999999999999</v>
      </c>
      <c r="N35" s="610"/>
      <c r="O35" s="424"/>
      <c r="P35" s="424"/>
      <c r="Q35" s="425"/>
      <c r="R35" s="423"/>
      <c r="S35" s="424"/>
      <c r="T35" s="424"/>
      <c r="U35" s="425"/>
      <c r="V35" s="560"/>
      <c r="W35" s="560"/>
      <c r="X35" s="181"/>
      <c r="Y35" s="560"/>
    </row>
    <row r="36" spans="2:25" ht="15.75">
      <c r="B36" s="605"/>
      <c r="C36" s="54" t="s">
        <v>504</v>
      </c>
      <c r="D36" s="54" t="s">
        <v>506</v>
      </c>
      <c r="E36" s="55">
        <v>45743</v>
      </c>
      <c r="F36" s="55">
        <v>45743</v>
      </c>
      <c r="G36" s="55">
        <v>45743</v>
      </c>
      <c r="H36" s="55">
        <v>45743</v>
      </c>
      <c r="I36" s="57" t="s">
        <v>98</v>
      </c>
      <c r="J36" s="58"/>
      <c r="K36" s="60">
        <v>494</v>
      </c>
      <c r="L36" s="149">
        <v>0.57699999999999996</v>
      </c>
      <c r="M36" s="150">
        <v>0.9</v>
      </c>
      <c r="N36" s="610"/>
      <c r="O36" s="424"/>
      <c r="P36" s="424"/>
      <c r="Q36" s="425"/>
      <c r="R36" s="423"/>
      <c r="S36" s="424"/>
      <c r="T36" s="424"/>
      <c r="U36" s="425"/>
      <c r="V36" s="560"/>
      <c r="W36" s="560"/>
      <c r="X36" s="181"/>
      <c r="Y36" s="560"/>
    </row>
    <row r="37" spans="2:25" ht="15.75">
      <c r="B37" s="605"/>
      <c r="C37" s="54" t="s">
        <v>505</v>
      </c>
      <c r="D37" s="54" t="s">
        <v>506</v>
      </c>
      <c r="E37" s="55">
        <v>45743</v>
      </c>
      <c r="F37" s="55">
        <v>45743</v>
      </c>
      <c r="G37" s="55">
        <v>45743</v>
      </c>
      <c r="H37" s="55">
        <v>45743</v>
      </c>
      <c r="I37" s="57" t="s">
        <v>98</v>
      </c>
      <c r="J37" s="58"/>
      <c r="K37" s="60">
        <v>494</v>
      </c>
      <c r="L37" s="149">
        <v>0.77</v>
      </c>
      <c r="M37" s="150">
        <v>0.88800000000000001</v>
      </c>
      <c r="N37" s="610"/>
      <c r="O37" s="424"/>
      <c r="P37" s="424"/>
      <c r="Q37" s="425"/>
      <c r="R37" s="423"/>
      <c r="S37" s="424"/>
      <c r="T37" s="424"/>
      <c r="U37" s="425"/>
      <c r="V37" s="560"/>
      <c r="W37" s="560"/>
      <c r="X37" s="181"/>
      <c r="Y37" s="560"/>
    </row>
    <row r="38" spans="2:25" ht="15.75">
      <c r="B38" s="606"/>
      <c r="C38" s="74" t="s">
        <v>507</v>
      </c>
      <c r="D38" s="74" t="s">
        <v>506</v>
      </c>
      <c r="E38" s="75">
        <v>45743</v>
      </c>
      <c r="F38" s="75">
        <v>45743</v>
      </c>
      <c r="G38" s="75">
        <v>45743</v>
      </c>
      <c r="H38" s="75">
        <v>45743</v>
      </c>
      <c r="I38" s="76" t="s">
        <v>98</v>
      </c>
      <c r="J38" s="77"/>
      <c r="K38" s="78">
        <v>494</v>
      </c>
      <c r="L38" s="151">
        <v>1.19</v>
      </c>
      <c r="M38" s="152">
        <v>1.3340000000000001</v>
      </c>
      <c r="N38" s="610"/>
      <c r="O38" s="424"/>
      <c r="P38" s="424"/>
      <c r="Q38" s="425"/>
      <c r="R38" s="423"/>
      <c r="S38" s="424"/>
      <c r="T38" s="424"/>
      <c r="U38" s="425"/>
      <c r="V38" s="560"/>
      <c r="W38" s="560"/>
      <c r="X38" s="181"/>
      <c r="Y38" s="560"/>
    </row>
    <row r="39" spans="2:25" ht="15.75">
      <c r="B39" s="604" t="s">
        <v>518</v>
      </c>
      <c r="C39" s="63" t="s">
        <v>431</v>
      </c>
      <c r="D39" s="63"/>
      <c r="E39" s="64">
        <v>45743</v>
      </c>
      <c r="F39" s="64">
        <v>45743</v>
      </c>
      <c r="G39" s="65">
        <v>45737</v>
      </c>
      <c r="H39" s="65">
        <v>45737</v>
      </c>
      <c r="I39" s="66" t="s">
        <v>98</v>
      </c>
      <c r="J39" s="79"/>
      <c r="K39" s="66"/>
      <c r="L39" s="66"/>
      <c r="M39" s="67"/>
      <c r="N39" s="610"/>
      <c r="O39" s="424"/>
      <c r="P39" s="424"/>
      <c r="Q39" s="425"/>
      <c r="R39" s="423"/>
      <c r="S39" s="424"/>
      <c r="T39" s="424"/>
      <c r="U39" s="425"/>
      <c r="V39" s="560"/>
      <c r="W39" s="560"/>
      <c r="X39" s="181"/>
      <c r="Y39" s="560"/>
    </row>
    <row r="40" spans="2:25" ht="15.75">
      <c r="B40" s="605"/>
      <c r="C40" s="54" t="s">
        <v>496</v>
      </c>
      <c r="D40" s="54"/>
      <c r="E40" s="55">
        <v>45743</v>
      </c>
      <c r="F40" s="55">
        <v>45743</v>
      </c>
      <c r="G40" s="56">
        <v>45737</v>
      </c>
      <c r="H40" s="56">
        <v>45737</v>
      </c>
      <c r="I40" s="57" t="s">
        <v>98</v>
      </c>
      <c r="J40" s="58"/>
      <c r="K40" s="57"/>
      <c r="L40" s="57"/>
      <c r="M40" s="68"/>
      <c r="N40" s="610"/>
      <c r="O40" s="424"/>
      <c r="P40" s="424"/>
      <c r="Q40" s="425"/>
      <c r="R40" s="423"/>
      <c r="S40" s="424"/>
      <c r="T40" s="424"/>
      <c r="U40" s="425"/>
      <c r="V40" s="560"/>
      <c r="W40" s="560"/>
      <c r="X40" s="181"/>
      <c r="Y40" s="560"/>
    </row>
    <row r="41" spans="2:25" ht="15.75">
      <c r="B41" s="605"/>
      <c r="C41" s="59" t="s">
        <v>497</v>
      </c>
      <c r="D41" s="54" t="s">
        <v>506</v>
      </c>
      <c r="E41" s="55">
        <v>45743</v>
      </c>
      <c r="F41" s="55">
        <v>45743</v>
      </c>
      <c r="G41" s="56">
        <v>45737</v>
      </c>
      <c r="H41" s="56">
        <v>45737</v>
      </c>
      <c r="I41" s="57" t="s">
        <v>98</v>
      </c>
      <c r="J41" s="58"/>
      <c r="K41" s="60">
        <v>190</v>
      </c>
      <c r="L41" s="149">
        <v>0.11600000000000001</v>
      </c>
      <c r="M41" s="150">
        <v>0.13600000000000001</v>
      </c>
      <c r="N41" s="610"/>
      <c r="O41" s="424"/>
      <c r="P41" s="424"/>
      <c r="Q41" s="425"/>
      <c r="R41" s="423"/>
      <c r="S41" s="424"/>
      <c r="T41" s="424"/>
      <c r="U41" s="425"/>
      <c r="V41" s="560"/>
      <c r="W41" s="560"/>
      <c r="X41" s="181"/>
      <c r="Y41" s="560"/>
    </row>
    <row r="42" spans="2:25" ht="31.5">
      <c r="B42" s="605"/>
      <c r="C42" s="54" t="s">
        <v>519</v>
      </c>
      <c r="D42" s="54" t="s">
        <v>506</v>
      </c>
      <c r="E42" s="55">
        <v>45743</v>
      </c>
      <c r="F42" s="55">
        <v>45743</v>
      </c>
      <c r="G42" s="61">
        <v>45737</v>
      </c>
      <c r="H42" s="61">
        <v>45737</v>
      </c>
      <c r="I42" s="57" t="s">
        <v>98</v>
      </c>
      <c r="J42" s="58"/>
      <c r="K42" s="60">
        <v>190</v>
      </c>
      <c r="L42" s="149">
        <v>0.19700000000000001</v>
      </c>
      <c r="M42" s="150">
        <v>0.22900000000000001</v>
      </c>
      <c r="N42" s="610"/>
      <c r="O42" s="424"/>
      <c r="P42" s="424"/>
      <c r="Q42" s="425"/>
      <c r="R42" s="423"/>
      <c r="S42" s="424"/>
      <c r="T42" s="424"/>
      <c r="U42" s="425"/>
      <c r="V42" s="560"/>
      <c r="W42" s="560"/>
      <c r="X42" s="181"/>
      <c r="Y42" s="560"/>
    </row>
    <row r="43" spans="2:25" ht="15.75">
      <c r="B43" s="605"/>
      <c r="C43" s="54" t="s">
        <v>501</v>
      </c>
      <c r="D43" s="54" t="s">
        <v>506</v>
      </c>
      <c r="E43" s="55">
        <v>45743</v>
      </c>
      <c r="F43" s="55">
        <v>45743</v>
      </c>
      <c r="G43" s="56">
        <v>45737</v>
      </c>
      <c r="H43" s="56">
        <v>45737</v>
      </c>
      <c r="I43" s="57" t="s">
        <v>98</v>
      </c>
      <c r="J43" s="58"/>
      <c r="K43" s="60">
        <v>190</v>
      </c>
      <c r="L43" s="149">
        <v>0.47199999999999998</v>
      </c>
      <c r="M43" s="150">
        <v>0.54900000000000004</v>
      </c>
      <c r="N43" s="610"/>
      <c r="O43" s="424"/>
      <c r="P43" s="424"/>
      <c r="Q43" s="425"/>
      <c r="R43" s="423"/>
      <c r="S43" s="424"/>
      <c r="T43" s="424"/>
      <c r="U43" s="425"/>
      <c r="V43" s="560"/>
      <c r="W43" s="560"/>
      <c r="X43" s="181"/>
      <c r="Y43" s="560"/>
    </row>
    <row r="44" spans="2:25" ht="15.75">
      <c r="B44" s="605"/>
      <c r="C44" s="54" t="s">
        <v>502</v>
      </c>
      <c r="D44" s="54" t="s">
        <v>506</v>
      </c>
      <c r="E44" s="55">
        <v>45743</v>
      </c>
      <c r="F44" s="55">
        <v>45743</v>
      </c>
      <c r="G44" s="56">
        <v>45737</v>
      </c>
      <c r="H44" s="56">
        <v>45737</v>
      </c>
      <c r="I44" s="57" t="s">
        <v>98</v>
      </c>
      <c r="J44" s="58"/>
      <c r="K44" s="60">
        <v>190</v>
      </c>
      <c r="L44" s="149">
        <v>1.347</v>
      </c>
      <c r="M44" s="150">
        <v>1.5189999999999999</v>
      </c>
      <c r="N44" s="610"/>
      <c r="O44" s="424"/>
      <c r="P44" s="424"/>
      <c r="Q44" s="425"/>
      <c r="R44" s="423"/>
      <c r="S44" s="424"/>
      <c r="T44" s="424"/>
      <c r="U44" s="425"/>
      <c r="V44" s="560"/>
      <c r="W44" s="560"/>
      <c r="X44" s="181"/>
      <c r="Y44" s="560"/>
    </row>
    <row r="45" spans="2:25" ht="15.75">
      <c r="B45" s="605"/>
      <c r="C45" s="54" t="s">
        <v>504</v>
      </c>
      <c r="D45" s="54" t="s">
        <v>506</v>
      </c>
      <c r="E45" s="55">
        <v>45743</v>
      </c>
      <c r="F45" s="55">
        <v>45743</v>
      </c>
      <c r="G45" s="55">
        <v>45743</v>
      </c>
      <c r="H45" s="55">
        <v>45743</v>
      </c>
      <c r="I45" s="57" t="s">
        <v>98</v>
      </c>
      <c r="J45" s="58"/>
      <c r="K45" s="60">
        <v>190</v>
      </c>
      <c r="L45" s="149">
        <v>0.55400000000000005</v>
      </c>
      <c r="M45" s="150">
        <v>0.88200000000000001</v>
      </c>
      <c r="N45" s="610"/>
      <c r="O45" s="424"/>
      <c r="P45" s="424"/>
      <c r="Q45" s="425"/>
      <c r="R45" s="423"/>
      <c r="S45" s="424"/>
      <c r="T45" s="424"/>
      <c r="U45" s="425"/>
      <c r="V45" s="560"/>
      <c r="W45" s="560"/>
      <c r="X45" s="181"/>
      <c r="Y45" s="560"/>
    </row>
    <row r="46" spans="2:25" ht="15.75">
      <c r="B46" s="605"/>
      <c r="C46" s="54" t="s">
        <v>505</v>
      </c>
      <c r="D46" s="54" t="s">
        <v>506</v>
      </c>
      <c r="E46" s="55">
        <v>45743</v>
      </c>
      <c r="F46" s="55">
        <v>45743</v>
      </c>
      <c r="G46" s="55">
        <v>45743</v>
      </c>
      <c r="H46" s="55">
        <v>45743</v>
      </c>
      <c r="I46" s="57" t="s">
        <v>98</v>
      </c>
      <c r="J46" s="58"/>
      <c r="K46" s="60">
        <v>190</v>
      </c>
      <c r="L46" s="149">
        <v>1.2010000000000001</v>
      </c>
      <c r="M46" s="150">
        <v>1.3620000000000001</v>
      </c>
      <c r="N46" s="610"/>
      <c r="O46" s="424"/>
      <c r="P46" s="424"/>
      <c r="Q46" s="425"/>
      <c r="R46" s="423"/>
      <c r="S46" s="424"/>
      <c r="T46" s="424"/>
      <c r="U46" s="425"/>
      <c r="V46" s="560"/>
      <c r="W46" s="560"/>
      <c r="X46" s="181"/>
      <c r="Y46" s="560"/>
    </row>
    <row r="47" spans="2:25" ht="15.75">
      <c r="B47" s="607"/>
      <c r="C47" s="69" t="s">
        <v>507</v>
      </c>
      <c r="D47" s="69" t="s">
        <v>506</v>
      </c>
      <c r="E47" s="70">
        <v>45743</v>
      </c>
      <c r="F47" s="70">
        <v>45743</v>
      </c>
      <c r="G47" s="70">
        <v>45743</v>
      </c>
      <c r="H47" s="70">
        <v>45743</v>
      </c>
      <c r="I47" s="71" t="s">
        <v>98</v>
      </c>
      <c r="J47" s="72"/>
      <c r="K47" s="73">
        <v>190</v>
      </c>
      <c r="L47" s="153">
        <v>1.1439999999999999</v>
      </c>
      <c r="M47" s="154">
        <v>1.3080000000000001</v>
      </c>
      <c r="N47" s="610"/>
      <c r="O47" s="424"/>
      <c r="P47" s="424"/>
      <c r="Q47" s="425"/>
      <c r="R47" s="423"/>
      <c r="S47" s="424"/>
      <c r="T47" s="424"/>
      <c r="U47" s="425"/>
      <c r="V47" s="560"/>
      <c r="W47" s="560"/>
      <c r="X47" s="181"/>
      <c r="Y47" s="560"/>
    </row>
    <row r="48" spans="2:25" ht="15.75">
      <c r="B48" s="608" t="s">
        <v>520</v>
      </c>
      <c r="C48" s="140" t="s">
        <v>431</v>
      </c>
      <c r="D48" s="140"/>
      <c r="E48" s="141">
        <v>45743</v>
      </c>
      <c r="F48" s="141">
        <v>45743</v>
      </c>
      <c r="G48" s="142">
        <v>45737</v>
      </c>
      <c r="H48" s="142">
        <v>45737</v>
      </c>
      <c r="I48" s="143" t="s">
        <v>98</v>
      </c>
      <c r="J48" s="144"/>
      <c r="K48" s="143"/>
      <c r="L48" s="143"/>
      <c r="M48" s="145"/>
      <c r="N48" s="610"/>
      <c r="O48" s="424"/>
      <c r="P48" s="424"/>
      <c r="Q48" s="425"/>
      <c r="R48" s="423"/>
      <c r="S48" s="424"/>
      <c r="T48" s="424"/>
      <c r="U48" s="425"/>
      <c r="V48" s="560"/>
      <c r="W48" s="560"/>
      <c r="X48" s="181"/>
      <c r="Y48" s="560"/>
    </row>
    <row r="49" spans="1:25" ht="15.75">
      <c r="B49" s="605"/>
      <c r="C49" s="54" t="s">
        <v>496</v>
      </c>
      <c r="D49" s="54"/>
      <c r="E49" s="55">
        <v>45743</v>
      </c>
      <c r="F49" s="55">
        <v>45743</v>
      </c>
      <c r="G49" s="56">
        <v>45737</v>
      </c>
      <c r="H49" s="56">
        <v>45737</v>
      </c>
      <c r="I49" s="57" t="s">
        <v>98</v>
      </c>
      <c r="J49" s="58"/>
      <c r="K49" s="57"/>
      <c r="L49" s="57"/>
      <c r="M49" s="68"/>
      <c r="N49" s="610"/>
      <c r="O49" s="424"/>
      <c r="P49" s="424"/>
      <c r="Q49" s="425"/>
      <c r="R49" s="423"/>
      <c r="S49" s="424"/>
      <c r="T49" s="424"/>
      <c r="U49" s="425"/>
      <c r="V49" s="560"/>
      <c r="W49" s="560"/>
      <c r="X49" s="181"/>
      <c r="Y49" s="560"/>
    </row>
    <row r="50" spans="1:25" ht="15.75">
      <c r="B50" s="605"/>
      <c r="C50" s="59" t="s">
        <v>497</v>
      </c>
      <c r="D50" s="54" t="s">
        <v>506</v>
      </c>
      <c r="E50" s="55">
        <v>45743</v>
      </c>
      <c r="F50" s="55">
        <v>45743</v>
      </c>
      <c r="G50" s="56">
        <v>45737</v>
      </c>
      <c r="H50" s="56">
        <v>45737</v>
      </c>
      <c r="I50" s="57" t="s">
        <v>98</v>
      </c>
      <c r="J50" s="58"/>
      <c r="K50" s="60">
        <v>1178</v>
      </c>
      <c r="L50" s="149">
        <v>0.124</v>
      </c>
      <c r="M50" s="150">
        <v>0.151</v>
      </c>
      <c r="N50" s="610"/>
      <c r="O50" s="424"/>
      <c r="P50" s="424"/>
      <c r="Q50" s="425"/>
      <c r="R50" s="423"/>
      <c r="S50" s="424"/>
      <c r="T50" s="424"/>
      <c r="U50" s="425"/>
      <c r="V50" s="560"/>
      <c r="W50" s="560"/>
      <c r="X50" s="181"/>
      <c r="Y50" s="560"/>
    </row>
    <row r="51" spans="1:25" ht="31.5">
      <c r="B51" s="605"/>
      <c r="C51" s="54" t="s">
        <v>521</v>
      </c>
      <c r="D51" s="54" t="s">
        <v>506</v>
      </c>
      <c r="E51" s="55">
        <v>45743</v>
      </c>
      <c r="F51" s="55">
        <v>45743</v>
      </c>
      <c r="G51" s="61">
        <v>45737</v>
      </c>
      <c r="H51" s="61">
        <v>45737</v>
      </c>
      <c r="I51" s="57" t="s">
        <v>98</v>
      </c>
      <c r="J51" s="58"/>
      <c r="K51" s="60">
        <v>1178</v>
      </c>
      <c r="L51" s="149">
        <v>0.20300000000000001</v>
      </c>
      <c r="M51" s="150">
        <v>0.24099999999999999</v>
      </c>
      <c r="N51" s="610"/>
      <c r="O51" s="424"/>
      <c r="P51" s="424"/>
      <c r="Q51" s="425"/>
      <c r="R51" s="423"/>
      <c r="S51" s="424"/>
      <c r="T51" s="424"/>
      <c r="U51" s="425"/>
      <c r="V51" s="560"/>
      <c r="W51" s="560"/>
      <c r="X51" s="181"/>
      <c r="Y51" s="560"/>
    </row>
    <row r="52" spans="1:25" ht="15.75">
      <c r="B52" s="605"/>
      <c r="C52" s="54" t="s">
        <v>501</v>
      </c>
      <c r="D52" s="54" t="s">
        <v>506</v>
      </c>
      <c r="E52" s="55">
        <v>45743</v>
      </c>
      <c r="F52" s="55">
        <v>45743</v>
      </c>
      <c r="G52" s="56">
        <v>45737</v>
      </c>
      <c r="H52" s="56">
        <v>45737</v>
      </c>
      <c r="I52" s="57" t="s">
        <v>98</v>
      </c>
      <c r="J52" s="58"/>
      <c r="K52" s="60">
        <v>1178</v>
      </c>
      <c r="L52" s="149">
        <v>0.23499999999999999</v>
      </c>
      <c r="M52" s="150">
        <v>0.28299999999999997</v>
      </c>
      <c r="N52" s="610"/>
      <c r="O52" s="424"/>
      <c r="P52" s="424"/>
      <c r="Q52" s="425"/>
      <c r="R52" s="423"/>
      <c r="S52" s="424"/>
      <c r="T52" s="424"/>
      <c r="U52" s="425"/>
      <c r="V52" s="560"/>
      <c r="W52" s="560"/>
      <c r="X52" s="181"/>
      <c r="Y52" s="560"/>
    </row>
    <row r="53" spans="1:25" ht="15.75">
      <c r="B53" s="605"/>
      <c r="C53" s="54" t="s">
        <v>502</v>
      </c>
      <c r="D53" s="54" t="s">
        <v>506</v>
      </c>
      <c r="E53" s="55">
        <v>45743</v>
      </c>
      <c r="F53" s="55">
        <v>45743</v>
      </c>
      <c r="G53" s="56">
        <v>45737</v>
      </c>
      <c r="H53" s="56">
        <v>45737</v>
      </c>
      <c r="I53" s="57" t="s">
        <v>98</v>
      </c>
      <c r="J53" s="58"/>
      <c r="K53" s="60">
        <v>1178</v>
      </c>
      <c r="L53" s="149">
        <v>0.94699999999999995</v>
      </c>
      <c r="M53" s="150">
        <v>1.0760000000000001</v>
      </c>
      <c r="N53" s="610"/>
      <c r="O53" s="424"/>
      <c r="P53" s="424"/>
      <c r="Q53" s="425"/>
      <c r="R53" s="423"/>
      <c r="S53" s="424"/>
      <c r="T53" s="424"/>
      <c r="U53" s="425"/>
      <c r="V53" s="560"/>
      <c r="W53" s="560"/>
      <c r="X53" s="181"/>
      <c r="Y53" s="560"/>
    </row>
    <row r="54" spans="1:25" ht="15.75">
      <c r="B54" s="605"/>
      <c r="C54" s="54" t="s">
        <v>504</v>
      </c>
      <c r="D54" s="54" t="s">
        <v>506</v>
      </c>
      <c r="E54" s="55">
        <v>45743</v>
      </c>
      <c r="F54" s="55">
        <v>45743</v>
      </c>
      <c r="G54" s="55">
        <v>45743</v>
      </c>
      <c r="H54" s="55">
        <v>45743</v>
      </c>
      <c r="I54" s="57" t="s">
        <v>98</v>
      </c>
      <c r="J54" s="58"/>
      <c r="K54" s="60">
        <v>1178</v>
      </c>
      <c r="L54" s="149">
        <v>0.56799999999999995</v>
      </c>
      <c r="M54" s="150">
        <v>0.90100000000000002</v>
      </c>
      <c r="N54" s="610"/>
      <c r="O54" s="424"/>
      <c r="P54" s="424"/>
      <c r="Q54" s="425"/>
      <c r="R54" s="423"/>
      <c r="S54" s="424"/>
      <c r="T54" s="424"/>
      <c r="U54" s="425"/>
      <c r="V54" s="560"/>
      <c r="W54" s="560"/>
      <c r="X54" s="181"/>
      <c r="Y54" s="560"/>
    </row>
    <row r="55" spans="1:25" ht="15.75">
      <c r="B55" s="605"/>
      <c r="C55" s="54" t="s">
        <v>505</v>
      </c>
      <c r="D55" s="54" t="s">
        <v>506</v>
      </c>
      <c r="E55" s="55">
        <v>45743</v>
      </c>
      <c r="F55" s="55">
        <v>45743</v>
      </c>
      <c r="G55" s="55">
        <v>45743</v>
      </c>
      <c r="H55" s="55">
        <v>45743</v>
      </c>
      <c r="I55" s="57" t="s">
        <v>98</v>
      </c>
      <c r="J55" s="58"/>
      <c r="K55" s="60">
        <v>1178</v>
      </c>
      <c r="L55" s="149">
        <v>0.77700000000000002</v>
      </c>
      <c r="M55" s="150">
        <v>0.90200000000000002</v>
      </c>
      <c r="N55" s="610"/>
      <c r="O55" s="424"/>
      <c r="P55" s="424"/>
      <c r="Q55" s="425"/>
      <c r="R55" s="423"/>
      <c r="S55" s="424"/>
      <c r="T55" s="424"/>
      <c r="U55" s="425"/>
      <c r="V55" s="560"/>
      <c r="W55" s="560"/>
      <c r="X55" s="181"/>
      <c r="Y55" s="560"/>
    </row>
    <row r="56" spans="1:25" ht="15.75">
      <c r="B56" s="607"/>
      <c r="C56" s="69" t="s">
        <v>511</v>
      </c>
      <c r="D56" s="69" t="s">
        <v>506</v>
      </c>
      <c r="E56" s="70">
        <v>45743</v>
      </c>
      <c r="F56" s="70">
        <v>45743</v>
      </c>
      <c r="G56" s="70">
        <v>45743</v>
      </c>
      <c r="H56" s="70">
        <v>45743</v>
      </c>
      <c r="I56" s="71" t="s">
        <v>98</v>
      </c>
      <c r="J56" s="72"/>
      <c r="K56" s="73">
        <v>1178</v>
      </c>
      <c r="L56" s="153">
        <v>1.1950000000000001</v>
      </c>
      <c r="M56" s="154">
        <v>1.3320000000000001</v>
      </c>
      <c r="N56" s="611"/>
      <c r="O56" s="427"/>
      <c r="P56" s="427"/>
      <c r="Q56" s="428"/>
      <c r="R56" s="426"/>
      <c r="S56" s="427"/>
      <c r="T56" s="427"/>
      <c r="U56" s="428"/>
      <c r="V56" s="561"/>
      <c r="W56" s="561"/>
      <c r="X56" s="181"/>
      <c r="Y56" s="561"/>
    </row>
    <row r="57" spans="1:25">
      <c r="N57" s="132"/>
      <c r="O57" s="132"/>
      <c r="P57" s="181"/>
      <c r="Q57" s="181"/>
      <c r="R57" s="181"/>
      <c r="S57" s="181"/>
      <c r="T57" s="181"/>
      <c r="U57" s="181"/>
      <c r="V57" s="181"/>
      <c r="W57" s="181"/>
      <c r="X57" s="181"/>
      <c r="Y57" s="181"/>
    </row>
    <row r="58" spans="1:25" ht="15.75">
      <c r="A58" s="3" t="s">
        <v>414</v>
      </c>
      <c r="B58" s="601" t="s">
        <v>522</v>
      </c>
      <c r="C58" s="3" t="s">
        <v>431</v>
      </c>
      <c r="D58" s="3"/>
      <c r="E58" s="330">
        <v>45983</v>
      </c>
      <c r="F58" s="3"/>
      <c r="G58" s="3"/>
      <c r="H58" s="3"/>
      <c r="I58" s="57" t="s">
        <v>98</v>
      </c>
      <c r="J58" s="3"/>
      <c r="K58" s="3">
        <v>5000</v>
      </c>
      <c r="L58" s="157">
        <v>0.432</v>
      </c>
      <c r="M58" s="157">
        <v>0.48699999999999999</v>
      </c>
      <c r="N58" s="333"/>
      <c r="O58" s="132"/>
      <c r="P58" s="181"/>
      <c r="Q58" s="181"/>
      <c r="R58" s="181"/>
      <c r="S58" s="181"/>
      <c r="T58" s="181"/>
      <c r="U58" s="181"/>
      <c r="V58" s="181"/>
      <c r="W58" s="181"/>
      <c r="X58" s="181"/>
      <c r="Y58" s="181"/>
    </row>
    <row r="59" spans="1:25" ht="15.75">
      <c r="A59" s="3"/>
      <c r="B59" s="602"/>
      <c r="C59" s="3" t="s">
        <v>417</v>
      </c>
      <c r="D59" s="3"/>
      <c r="E59" s="330">
        <v>45983</v>
      </c>
      <c r="F59" s="3"/>
      <c r="G59" s="3"/>
      <c r="H59" s="3"/>
      <c r="I59" s="57" t="s">
        <v>98</v>
      </c>
      <c r="J59" s="3"/>
      <c r="K59" s="3">
        <v>5000</v>
      </c>
      <c r="L59" s="157">
        <v>0.41199999999999998</v>
      </c>
      <c r="M59" s="157">
        <v>0.46800000000000003</v>
      </c>
      <c r="N59" s="333"/>
      <c r="O59" s="132"/>
      <c r="P59" s="181"/>
      <c r="Q59" s="181"/>
      <c r="R59" s="181"/>
      <c r="S59" s="181"/>
      <c r="T59" s="181"/>
      <c r="U59" s="181"/>
      <c r="V59" s="181"/>
      <c r="W59" s="181"/>
      <c r="X59" s="181"/>
      <c r="Y59" s="181"/>
    </row>
    <row r="60" spans="1:25" ht="15.75">
      <c r="A60" s="3"/>
      <c r="B60" s="602"/>
      <c r="C60" s="3" t="s">
        <v>523</v>
      </c>
      <c r="D60" s="54" t="s">
        <v>506</v>
      </c>
      <c r="E60" s="330">
        <v>45983</v>
      </c>
      <c r="F60" s="3"/>
      <c r="G60" s="3"/>
      <c r="H60" s="3"/>
      <c r="I60" s="57" t="s">
        <v>98</v>
      </c>
      <c r="J60" s="3"/>
      <c r="K60" s="3">
        <v>5000</v>
      </c>
      <c r="L60" s="157">
        <v>1.1379999999999999</v>
      </c>
      <c r="M60" s="157">
        <v>1.2450000000000001</v>
      </c>
      <c r="N60" s="333"/>
      <c r="O60" s="132"/>
      <c r="P60" s="181"/>
      <c r="Q60" s="181"/>
      <c r="R60" s="181"/>
      <c r="S60" s="181"/>
      <c r="T60" s="181"/>
      <c r="U60" s="181"/>
      <c r="V60" s="181"/>
      <c r="W60" s="181"/>
      <c r="X60" s="181"/>
      <c r="Y60" s="181"/>
    </row>
    <row r="61" spans="1:25" ht="15.75">
      <c r="A61" s="3"/>
      <c r="B61" s="602"/>
      <c r="C61" s="3" t="s">
        <v>524</v>
      </c>
      <c r="D61" s="54" t="s">
        <v>506</v>
      </c>
      <c r="E61" s="330">
        <v>45983</v>
      </c>
      <c r="F61" s="3"/>
      <c r="G61" s="3"/>
      <c r="H61" s="3"/>
      <c r="I61" s="57" t="s">
        <v>98</v>
      </c>
      <c r="J61" s="3"/>
      <c r="K61" s="3">
        <v>5000</v>
      </c>
      <c r="L61" s="157">
        <v>1.2170000000000001</v>
      </c>
      <c r="M61" s="157">
        <v>1.3540000000000001</v>
      </c>
      <c r="N61" s="333"/>
      <c r="O61" s="132"/>
      <c r="P61" s="181"/>
      <c r="Q61" s="181"/>
      <c r="R61" s="181"/>
      <c r="S61" s="181"/>
      <c r="T61" s="181"/>
      <c r="U61" s="181"/>
      <c r="V61" s="181"/>
      <c r="W61" s="181"/>
      <c r="X61" s="181"/>
      <c r="Y61" s="181"/>
    </row>
    <row r="62" spans="1:25" ht="15.75">
      <c r="A62" s="3"/>
      <c r="B62" s="602"/>
      <c r="C62" s="3" t="s">
        <v>525</v>
      </c>
      <c r="D62" s="54" t="s">
        <v>506</v>
      </c>
      <c r="E62" s="330">
        <v>45983</v>
      </c>
      <c r="F62" s="3"/>
      <c r="G62" s="3"/>
      <c r="H62" s="3"/>
      <c r="I62" s="57" t="s">
        <v>98</v>
      </c>
      <c r="J62" s="3"/>
      <c r="K62" s="3">
        <v>5000</v>
      </c>
      <c r="L62" s="157">
        <v>2.3460000000000001</v>
      </c>
      <c r="M62" s="157">
        <v>2.5979999999999999</v>
      </c>
      <c r="N62" s="333"/>
      <c r="O62" s="132"/>
      <c r="P62" s="181"/>
      <c r="Q62" s="181"/>
      <c r="R62" s="181"/>
      <c r="S62" s="181"/>
      <c r="T62" s="181"/>
      <c r="U62" s="181"/>
      <c r="V62" s="181"/>
      <c r="W62" s="181"/>
      <c r="X62" s="181"/>
      <c r="Y62" s="181"/>
    </row>
    <row r="63" spans="1:25" ht="15.75">
      <c r="A63" s="3"/>
      <c r="B63" s="602"/>
      <c r="C63" s="3" t="s">
        <v>526</v>
      </c>
      <c r="D63" s="54" t="s">
        <v>506</v>
      </c>
      <c r="E63" s="330">
        <v>45983</v>
      </c>
      <c r="F63" s="3"/>
      <c r="G63" s="3"/>
      <c r="H63" s="3"/>
      <c r="I63" s="57" t="s">
        <v>98</v>
      </c>
      <c r="J63" s="3"/>
      <c r="K63" s="3">
        <v>5000</v>
      </c>
      <c r="L63" s="157">
        <v>0.43</v>
      </c>
      <c r="M63" s="157">
        <v>0.53</v>
      </c>
      <c r="N63" s="333"/>
      <c r="O63" s="132"/>
      <c r="P63" s="181"/>
      <c r="Q63" s="181"/>
      <c r="R63" s="181"/>
      <c r="S63" s="181"/>
      <c r="T63" s="181"/>
      <c r="U63" s="181"/>
      <c r="V63" s="181"/>
      <c r="W63" s="181"/>
      <c r="X63" s="181"/>
      <c r="Y63" s="181"/>
    </row>
    <row r="64" spans="1:25" ht="15.75">
      <c r="A64" s="3"/>
      <c r="B64" s="602"/>
      <c r="C64" s="3" t="s">
        <v>527</v>
      </c>
      <c r="D64" s="54" t="s">
        <v>506</v>
      </c>
      <c r="E64" s="330">
        <v>45983</v>
      </c>
      <c r="F64" s="3"/>
      <c r="G64" s="3"/>
      <c r="H64" s="3"/>
      <c r="I64" s="57" t="s">
        <v>98</v>
      </c>
      <c r="J64" s="3"/>
      <c r="K64" s="3">
        <v>5000</v>
      </c>
      <c r="L64" s="157">
        <v>0.23799999999999999</v>
      </c>
      <c r="M64" s="157">
        <v>0.22</v>
      </c>
      <c r="N64" s="334"/>
    </row>
    <row r="65" spans="1:14" ht="15.75">
      <c r="A65" s="3"/>
      <c r="B65" s="602"/>
      <c r="C65" s="3" t="s">
        <v>528</v>
      </c>
      <c r="D65" s="54" t="s">
        <v>506</v>
      </c>
      <c r="E65" s="330">
        <v>45983</v>
      </c>
      <c r="F65" s="3"/>
      <c r="G65" s="3"/>
      <c r="H65" s="3"/>
      <c r="I65" s="57" t="s">
        <v>98</v>
      </c>
      <c r="J65" s="3"/>
      <c r="K65" s="3">
        <v>5000</v>
      </c>
      <c r="L65" s="157">
        <v>0.71299999999999997</v>
      </c>
      <c r="M65" s="157">
        <v>0.85499999999999998</v>
      </c>
      <c r="N65" s="334"/>
    </row>
    <row r="66" spans="1:14" ht="15.75">
      <c r="A66" s="3"/>
      <c r="B66" s="602"/>
      <c r="C66" s="3" t="s">
        <v>529</v>
      </c>
      <c r="D66" s="54" t="s">
        <v>506</v>
      </c>
      <c r="E66" s="330">
        <v>45983</v>
      </c>
      <c r="F66" s="3"/>
      <c r="G66" s="3"/>
      <c r="H66" s="3"/>
      <c r="I66" s="57" t="s">
        <v>98</v>
      </c>
      <c r="J66" s="3"/>
      <c r="K66" s="3">
        <v>5000</v>
      </c>
      <c r="L66" s="157">
        <v>0.74399999999999999</v>
      </c>
      <c r="M66" s="157">
        <v>0.88</v>
      </c>
      <c r="N66" s="334"/>
    </row>
    <row r="67" spans="1:14" ht="15.75">
      <c r="A67" s="3"/>
      <c r="B67" s="602"/>
      <c r="C67" s="3" t="s">
        <v>530</v>
      </c>
      <c r="D67" s="54" t="s">
        <v>506</v>
      </c>
      <c r="E67" s="330">
        <v>45983</v>
      </c>
      <c r="F67" s="3"/>
      <c r="G67" s="3"/>
      <c r="H67" s="3"/>
      <c r="I67" s="57" t="s">
        <v>98</v>
      </c>
      <c r="J67" s="3"/>
      <c r="K67" s="3">
        <v>5000</v>
      </c>
      <c r="L67" s="157">
        <v>1.819</v>
      </c>
      <c r="M67" s="157">
        <v>2.1880000000000002</v>
      </c>
      <c r="N67" s="334"/>
    </row>
    <row r="68" spans="1:14" ht="15.75">
      <c r="A68" s="3"/>
      <c r="B68" s="602"/>
      <c r="C68" s="3" t="s">
        <v>531</v>
      </c>
      <c r="D68" s="54" t="s">
        <v>506</v>
      </c>
      <c r="E68" s="330">
        <v>45983</v>
      </c>
      <c r="F68" s="3"/>
      <c r="G68" s="3"/>
      <c r="H68" s="3"/>
      <c r="I68" s="57" t="s">
        <v>98</v>
      </c>
      <c r="J68" s="3"/>
      <c r="K68" s="3">
        <v>5000</v>
      </c>
      <c r="L68" s="157">
        <v>1.35</v>
      </c>
      <c r="M68" s="157">
        <v>1.3169999999999999</v>
      </c>
      <c r="N68" s="334"/>
    </row>
    <row r="69" spans="1:14" ht="15.75">
      <c r="A69" s="3"/>
      <c r="B69" s="602"/>
      <c r="C69" s="3" t="s">
        <v>532</v>
      </c>
      <c r="D69" s="54" t="s">
        <v>506</v>
      </c>
      <c r="E69" s="330">
        <v>45983</v>
      </c>
      <c r="F69" s="3"/>
      <c r="G69" s="3"/>
      <c r="H69" s="3"/>
      <c r="I69" s="57" t="s">
        <v>98</v>
      </c>
      <c r="J69" s="3"/>
      <c r="K69" s="3">
        <v>5000</v>
      </c>
      <c r="L69" s="157">
        <v>1.141</v>
      </c>
      <c r="M69" s="157">
        <v>1.1100000000000001</v>
      </c>
      <c r="N69" s="334"/>
    </row>
    <row r="70" spans="1:14" ht="15.75">
      <c r="A70" s="3"/>
      <c r="B70" s="603"/>
      <c r="C70" s="3" t="s">
        <v>533</v>
      </c>
      <c r="D70" s="54" t="s">
        <v>506</v>
      </c>
      <c r="E70" s="330">
        <v>45983</v>
      </c>
      <c r="F70" s="3"/>
      <c r="G70" s="3"/>
      <c r="H70" s="3"/>
      <c r="I70" s="57" t="s">
        <v>98</v>
      </c>
      <c r="J70" s="3"/>
      <c r="K70" s="3">
        <v>5000</v>
      </c>
      <c r="L70" s="157">
        <v>1.268</v>
      </c>
      <c r="M70" s="157">
        <v>1.6379999999999999</v>
      </c>
      <c r="N70" s="334"/>
    </row>
    <row r="71" spans="1:14">
      <c r="A71" s="175"/>
      <c r="B71" s="175"/>
      <c r="C71" s="335"/>
      <c r="D71" s="335"/>
      <c r="E71" s="175"/>
      <c r="F71" s="175"/>
      <c r="G71" s="175"/>
      <c r="H71" s="175"/>
      <c r="I71" s="43"/>
      <c r="J71" s="175"/>
      <c r="K71" s="175"/>
      <c r="L71" s="175"/>
      <c r="M71" s="175"/>
      <c r="N71" s="334"/>
    </row>
    <row r="72" spans="1:14" ht="15.75">
      <c r="A72" s="3" t="s">
        <v>414</v>
      </c>
      <c r="B72" s="414" t="s">
        <v>534</v>
      </c>
      <c r="C72" s="3" t="s">
        <v>416</v>
      </c>
      <c r="D72" s="3"/>
      <c r="E72" s="330">
        <v>45983</v>
      </c>
      <c r="F72" s="3"/>
      <c r="G72" s="3"/>
      <c r="H72" s="3"/>
      <c r="I72" s="57" t="s">
        <v>98</v>
      </c>
      <c r="J72" s="3"/>
      <c r="K72" s="3">
        <v>5000</v>
      </c>
      <c r="L72" s="157">
        <v>0.42399999999999999</v>
      </c>
      <c r="M72" s="157">
        <v>0.40500000000000003</v>
      </c>
      <c r="N72" s="334"/>
    </row>
    <row r="73" spans="1:14" ht="15.75">
      <c r="A73" s="3"/>
      <c r="B73" s="562"/>
      <c r="C73" s="3" t="s">
        <v>417</v>
      </c>
      <c r="D73" s="3"/>
      <c r="E73" s="330">
        <v>45983</v>
      </c>
      <c r="F73" s="3"/>
      <c r="G73" s="3"/>
      <c r="H73" s="3"/>
      <c r="I73" s="57" t="s">
        <v>98</v>
      </c>
      <c r="J73" s="3"/>
      <c r="K73" s="3">
        <v>5000</v>
      </c>
      <c r="L73" s="157">
        <v>0.40300000000000002</v>
      </c>
      <c r="M73" s="157">
        <v>0.47799999999999998</v>
      </c>
      <c r="N73" s="334"/>
    </row>
    <row r="74" spans="1:14" ht="15.75">
      <c r="A74" s="3"/>
      <c r="B74" s="562"/>
      <c r="C74" s="3" t="s">
        <v>535</v>
      </c>
      <c r="D74" s="3"/>
      <c r="E74" s="330">
        <v>45983</v>
      </c>
      <c r="F74" s="3"/>
      <c r="G74" s="3"/>
      <c r="H74" s="3"/>
      <c r="I74" s="57" t="s">
        <v>98</v>
      </c>
      <c r="J74" s="3"/>
      <c r="K74" s="3">
        <v>5000</v>
      </c>
      <c r="L74" s="157">
        <v>0.52400000000000002</v>
      </c>
      <c r="M74" s="157">
        <v>0.61599999999999999</v>
      </c>
      <c r="N74" s="334"/>
    </row>
    <row r="75" spans="1:14" ht="15.75">
      <c r="A75" s="3"/>
      <c r="B75" s="562"/>
      <c r="C75" s="3" t="s">
        <v>536</v>
      </c>
      <c r="D75" s="3"/>
      <c r="E75" s="330">
        <v>45983</v>
      </c>
      <c r="F75" s="3"/>
      <c r="G75" s="3"/>
      <c r="H75" s="3"/>
      <c r="I75" s="57" t="s">
        <v>98</v>
      </c>
      <c r="J75" s="3"/>
      <c r="K75" s="3">
        <v>5000</v>
      </c>
      <c r="L75" s="157">
        <v>0.96599999999999997</v>
      </c>
      <c r="M75" s="157">
        <v>1.198</v>
      </c>
      <c r="N75" s="334"/>
    </row>
    <row r="76" spans="1:14" ht="15.75">
      <c r="A76" s="3"/>
      <c r="B76" s="562"/>
      <c r="C76" s="3" t="s">
        <v>537</v>
      </c>
      <c r="D76" s="3"/>
      <c r="E76" s="330">
        <v>45983</v>
      </c>
      <c r="F76" s="3"/>
      <c r="G76" s="3"/>
      <c r="H76" s="3"/>
      <c r="I76" s="57" t="s">
        <v>98</v>
      </c>
      <c r="J76" s="3"/>
      <c r="K76" s="3">
        <v>5000</v>
      </c>
      <c r="L76" s="157">
        <v>1.5880000000000001</v>
      </c>
      <c r="M76" s="157">
        <v>1.784</v>
      </c>
      <c r="N76" s="334"/>
    </row>
    <row r="77" spans="1:14" ht="15.75">
      <c r="A77" s="3"/>
      <c r="B77" s="562"/>
      <c r="C77" s="3" t="s">
        <v>538</v>
      </c>
      <c r="D77" s="3"/>
      <c r="E77" s="330">
        <v>45983</v>
      </c>
      <c r="F77" s="3"/>
      <c r="G77" s="3"/>
      <c r="H77" s="3"/>
      <c r="I77" s="57" t="s">
        <v>98</v>
      </c>
      <c r="J77" s="3"/>
      <c r="K77" s="3">
        <v>5000</v>
      </c>
      <c r="L77" s="157">
        <v>0.182</v>
      </c>
      <c r="M77" s="157">
        <v>0.22500000000000001</v>
      </c>
      <c r="N77" s="334"/>
    </row>
    <row r="78" spans="1:14" ht="15.75">
      <c r="A78" s="3"/>
      <c r="B78" s="415"/>
      <c r="C78" s="3" t="s">
        <v>539</v>
      </c>
      <c r="D78" s="3"/>
      <c r="E78" s="330">
        <v>45983</v>
      </c>
      <c r="F78" s="3"/>
      <c r="G78" s="3"/>
      <c r="H78" s="3"/>
      <c r="I78" s="57" t="s">
        <v>98</v>
      </c>
      <c r="J78" s="3"/>
      <c r="K78" s="3">
        <v>5000</v>
      </c>
      <c r="L78" s="157">
        <v>1.3759999999999999</v>
      </c>
      <c r="M78" s="157">
        <v>1.454</v>
      </c>
      <c r="N78" s="334"/>
    </row>
    <row r="80" spans="1:14" ht="15.75">
      <c r="A80" s="3" t="s">
        <v>414</v>
      </c>
      <c r="B80" s="655" t="s">
        <v>540</v>
      </c>
      <c r="C80" s="3" t="s">
        <v>416</v>
      </c>
      <c r="D80" s="3"/>
      <c r="E80" s="330">
        <v>45988</v>
      </c>
      <c r="F80" s="3"/>
      <c r="G80" s="3"/>
      <c r="H80" s="3"/>
      <c r="I80" s="57" t="s">
        <v>98</v>
      </c>
      <c r="J80" s="3"/>
      <c r="K80" s="3">
        <v>5000</v>
      </c>
      <c r="L80" s="157">
        <v>0.43</v>
      </c>
      <c r="M80" s="157">
        <v>0.41099999999999998</v>
      </c>
      <c r="N80" s="334"/>
    </row>
    <row r="81" spans="1:14" ht="15.75">
      <c r="A81" s="3"/>
      <c r="B81" s="599"/>
      <c r="C81" s="3" t="s">
        <v>417</v>
      </c>
      <c r="D81" s="3"/>
      <c r="E81" s="330">
        <v>45988</v>
      </c>
      <c r="F81" s="3"/>
      <c r="G81" s="3"/>
      <c r="H81" s="3"/>
      <c r="I81" s="57" t="s">
        <v>98</v>
      </c>
      <c r="J81" s="3"/>
      <c r="K81" s="3">
        <v>5000</v>
      </c>
      <c r="L81" s="157">
        <v>0.41299999999999998</v>
      </c>
      <c r="M81" s="157">
        <v>0.49299999999999999</v>
      </c>
      <c r="N81" s="334"/>
    </row>
    <row r="82" spans="1:14" ht="15.75">
      <c r="A82" s="3"/>
      <c r="B82" s="599"/>
      <c r="C82" s="3" t="s">
        <v>535</v>
      </c>
      <c r="D82" s="3"/>
      <c r="E82" s="330">
        <v>45988</v>
      </c>
      <c r="F82" s="3"/>
      <c r="G82" s="3"/>
      <c r="H82" s="3"/>
      <c r="I82" s="57" t="s">
        <v>98</v>
      </c>
      <c r="J82" s="3"/>
      <c r="K82" s="3">
        <v>5000</v>
      </c>
      <c r="L82" s="157">
        <v>0.57299999999999995</v>
      </c>
      <c r="M82" s="157">
        <v>0.67900000000000005</v>
      </c>
      <c r="N82" s="334"/>
    </row>
    <row r="83" spans="1:14" ht="15.75">
      <c r="A83" s="3"/>
      <c r="B83" s="599"/>
      <c r="C83" s="3" t="s">
        <v>536</v>
      </c>
      <c r="D83" s="3"/>
      <c r="E83" s="330">
        <v>45988</v>
      </c>
      <c r="F83" s="3"/>
      <c r="G83" s="3"/>
      <c r="H83" s="3"/>
      <c r="I83" s="57" t="s">
        <v>98</v>
      </c>
      <c r="J83" s="3"/>
      <c r="K83" s="3">
        <v>5000</v>
      </c>
      <c r="L83" s="157">
        <v>1.296</v>
      </c>
      <c r="M83" s="157">
        <v>1.595</v>
      </c>
      <c r="N83" s="334"/>
    </row>
    <row r="84" spans="1:14" ht="15.75">
      <c r="A84" s="3"/>
      <c r="B84" s="599"/>
      <c r="C84" s="3" t="s">
        <v>537</v>
      </c>
      <c r="D84" s="3"/>
      <c r="E84" s="330">
        <v>45988</v>
      </c>
      <c r="F84" s="3"/>
      <c r="G84" s="3"/>
      <c r="H84" s="3"/>
      <c r="I84" s="57" t="s">
        <v>98</v>
      </c>
      <c r="J84" s="3"/>
      <c r="K84" s="3">
        <v>5000</v>
      </c>
      <c r="L84" s="157">
        <v>1.577</v>
      </c>
      <c r="M84" s="157">
        <v>1.994</v>
      </c>
      <c r="N84" s="334"/>
    </row>
    <row r="85" spans="1:14" ht="15.75">
      <c r="A85" s="3"/>
      <c r="B85" s="599"/>
      <c r="C85" s="3" t="s">
        <v>538</v>
      </c>
      <c r="D85" s="3"/>
      <c r="E85" s="330">
        <v>45988</v>
      </c>
      <c r="F85" s="3"/>
      <c r="G85" s="3"/>
      <c r="H85" s="3"/>
      <c r="I85" s="57" t="s">
        <v>98</v>
      </c>
      <c r="J85" s="3"/>
      <c r="K85" s="3">
        <v>5000</v>
      </c>
      <c r="L85" s="157">
        <v>0.19</v>
      </c>
      <c r="M85" s="157">
        <v>0.23599999999999999</v>
      </c>
      <c r="N85" s="334"/>
    </row>
    <row r="86" spans="1:14" ht="15.75">
      <c r="A86" s="175"/>
      <c r="B86" s="600"/>
      <c r="C86" s="175" t="s">
        <v>539</v>
      </c>
      <c r="D86" s="175"/>
      <c r="E86" s="336">
        <v>45988</v>
      </c>
      <c r="F86" s="175"/>
      <c r="G86" s="175"/>
      <c r="H86" s="175"/>
      <c r="I86" s="57" t="s">
        <v>98</v>
      </c>
      <c r="J86" s="175"/>
      <c r="K86" s="3">
        <v>5000</v>
      </c>
      <c r="L86" s="157">
        <v>1.476</v>
      </c>
      <c r="M86" s="157">
        <v>2.0710000000000002</v>
      </c>
      <c r="N86" s="334"/>
    </row>
    <row r="87" spans="1:14">
      <c r="A87" s="3"/>
      <c r="B87" s="3"/>
      <c r="C87" s="6"/>
      <c r="D87" s="6"/>
      <c r="E87" s="330"/>
      <c r="F87" s="3"/>
      <c r="G87" s="3"/>
      <c r="H87" s="3"/>
      <c r="I87" s="45"/>
      <c r="J87" s="3"/>
      <c r="K87" s="3"/>
      <c r="L87" s="337"/>
      <c r="M87" s="337"/>
      <c r="N87" s="334"/>
    </row>
    <row r="89" spans="1:14" ht="15.75">
      <c r="A89" s="3" t="s">
        <v>414</v>
      </c>
      <c r="B89" s="414" t="s">
        <v>541</v>
      </c>
      <c r="C89" s="3" t="s">
        <v>416</v>
      </c>
      <c r="D89"/>
      <c r="E89" s="336">
        <v>45988</v>
      </c>
      <c r="I89" s="57" t="s">
        <v>98</v>
      </c>
      <c r="K89" s="3">
        <v>5000</v>
      </c>
      <c r="L89" s="157">
        <v>0.47299999999999998</v>
      </c>
      <c r="M89" s="157">
        <v>0.54200000000000004</v>
      </c>
      <c r="N89" s="334"/>
    </row>
    <row r="90" spans="1:14" ht="15.75">
      <c r="A90" s="3"/>
      <c r="B90" s="562"/>
      <c r="C90" s="3" t="s">
        <v>542</v>
      </c>
      <c r="D90"/>
      <c r="E90" s="336">
        <v>45988</v>
      </c>
      <c r="I90" s="57" t="s">
        <v>98</v>
      </c>
      <c r="K90" s="3">
        <v>5000</v>
      </c>
      <c r="L90" s="157">
        <v>0.42699999999999999</v>
      </c>
      <c r="M90" s="157">
        <v>0.39400000000000002</v>
      </c>
      <c r="N90" s="334"/>
    </row>
    <row r="91" spans="1:14" ht="15.75">
      <c r="A91" s="3"/>
      <c r="B91" s="562"/>
      <c r="C91" s="3" t="s">
        <v>543</v>
      </c>
      <c r="D91"/>
      <c r="E91" s="336">
        <v>45988</v>
      </c>
      <c r="I91" s="57" t="s">
        <v>98</v>
      </c>
      <c r="K91" s="3">
        <v>5000</v>
      </c>
      <c r="L91" s="157">
        <v>0.42</v>
      </c>
      <c r="M91" s="157">
        <v>0.54100000000000004</v>
      </c>
      <c r="N91" s="334"/>
    </row>
    <row r="92" spans="1:14" ht="15.75">
      <c r="A92" s="3"/>
      <c r="B92" s="562"/>
      <c r="C92" s="3" t="s">
        <v>544</v>
      </c>
      <c r="D92"/>
      <c r="E92" s="336">
        <v>45988</v>
      </c>
      <c r="I92" s="57" t="s">
        <v>98</v>
      </c>
      <c r="K92" s="3">
        <v>5000</v>
      </c>
      <c r="L92" s="157">
        <v>2.6829999999999998</v>
      </c>
      <c r="M92" s="157">
        <v>3.0129999999999999</v>
      </c>
      <c r="N92" s="334"/>
    </row>
    <row r="93" spans="1:14" ht="15.75">
      <c r="A93" s="3"/>
      <c r="B93" s="562"/>
      <c r="C93" s="3" t="s">
        <v>545</v>
      </c>
      <c r="D93"/>
      <c r="E93" s="336">
        <v>45988</v>
      </c>
      <c r="I93" s="57" t="s">
        <v>98</v>
      </c>
      <c r="K93" s="3">
        <v>5000</v>
      </c>
      <c r="L93" s="157">
        <v>0.23100000000000001</v>
      </c>
      <c r="M93" s="157">
        <v>0.29399999999999998</v>
      </c>
      <c r="N93" s="334"/>
    </row>
    <row r="94" spans="1:14" ht="15.75">
      <c r="A94" s="3"/>
      <c r="B94" s="562"/>
      <c r="C94" s="3" t="s">
        <v>546</v>
      </c>
      <c r="D94"/>
      <c r="E94" s="336">
        <v>45988</v>
      </c>
      <c r="I94" s="57" t="s">
        <v>98</v>
      </c>
      <c r="K94" s="3">
        <v>5000</v>
      </c>
      <c r="L94" s="157">
        <v>0.69299999999999995</v>
      </c>
      <c r="M94" s="157">
        <v>0.82</v>
      </c>
      <c r="N94" s="334"/>
    </row>
    <row r="95" spans="1:14" ht="15.75">
      <c r="A95" s="3"/>
      <c r="B95" s="562"/>
      <c r="C95" s="3" t="s">
        <v>547</v>
      </c>
      <c r="D95"/>
      <c r="E95" s="336">
        <v>45988</v>
      </c>
      <c r="I95" s="57" t="s">
        <v>98</v>
      </c>
      <c r="K95" s="3">
        <v>5000</v>
      </c>
      <c r="L95" s="157">
        <v>0.72899999999999998</v>
      </c>
      <c r="M95" s="157">
        <v>0.874</v>
      </c>
      <c r="N95" s="334"/>
    </row>
    <row r="96" spans="1:14" ht="15.75">
      <c r="A96" s="3"/>
      <c r="B96" s="562"/>
      <c r="C96" s="3" t="s">
        <v>548</v>
      </c>
      <c r="D96"/>
      <c r="E96" s="336">
        <v>45988</v>
      </c>
      <c r="I96" s="57" t="s">
        <v>98</v>
      </c>
      <c r="K96" s="3">
        <v>5000</v>
      </c>
      <c r="L96" s="157">
        <v>1.8540000000000001</v>
      </c>
      <c r="M96" s="157">
        <v>2.3889999999999998</v>
      </c>
      <c r="N96" s="334"/>
    </row>
    <row r="97" spans="1:14" ht="15.75">
      <c r="A97" s="3"/>
      <c r="B97" s="562"/>
      <c r="C97" s="3" t="s">
        <v>549</v>
      </c>
      <c r="D97"/>
      <c r="E97" s="336">
        <v>45988</v>
      </c>
      <c r="I97" s="57" t="s">
        <v>98</v>
      </c>
      <c r="K97" s="3">
        <v>5000</v>
      </c>
      <c r="L97" s="157">
        <v>1.274</v>
      </c>
      <c r="M97" s="157">
        <v>1.5960000000000001</v>
      </c>
      <c r="N97" s="334"/>
    </row>
    <row r="98" spans="1:14" ht="15.75">
      <c r="A98" s="3"/>
      <c r="B98" s="562"/>
      <c r="C98" s="3" t="s">
        <v>550</v>
      </c>
      <c r="D98"/>
      <c r="E98" s="336">
        <v>45988</v>
      </c>
      <c r="I98" s="57" t="s">
        <v>98</v>
      </c>
      <c r="K98" s="3">
        <v>5000</v>
      </c>
      <c r="L98" s="157">
        <v>1.141</v>
      </c>
      <c r="M98" s="157">
        <v>1.3169999999999999</v>
      </c>
      <c r="N98" s="334"/>
    </row>
    <row r="99" spans="1:14" ht="15.75">
      <c r="A99" s="3"/>
      <c r="B99" s="415"/>
      <c r="C99" s="3" t="s">
        <v>551</v>
      </c>
      <c r="D99"/>
      <c r="E99" s="330">
        <v>45988</v>
      </c>
      <c r="I99" s="57" t="s">
        <v>98</v>
      </c>
      <c r="K99" s="3">
        <v>5000</v>
      </c>
      <c r="L99" s="157">
        <v>1.794</v>
      </c>
      <c r="M99" s="157">
        <v>2.2349999999999999</v>
      </c>
      <c r="N99" s="334"/>
    </row>
  </sheetData>
  <mergeCells count="18">
    <mergeCell ref="V1:W1"/>
    <mergeCell ref="B3:B11"/>
    <mergeCell ref="B12:B20"/>
    <mergeCell ref="B21:B29"/>
    <mergeCell ref="B48:B56"/>
    <mergeCell ref="B39:B47"/>
    <mergeCell ref="B30:B38"/>
    <mergeCell ref="N1:Q1"/>
    <mergeCell ref="R1:U1"/>
    <mergeCell ref="N3:Q56"/>
    <mergeCell ref="R3:U56"/>
    <mergeCell ref="V3:V56"/>
    <mergeCell ref="W3:W56"/>
    <mergeCell ref="B80:B86"/>
    <mergeCell ref="B89:B99"/>
    <mergeCell ref="B72:B78"/>
    <mergeCell ref="B58:B70"/>
    <mergeCell ref="Y3:Y5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F73D1A1-4693-43DC-B130-8E66D577A8D9}">
          <x14:formula1>
            <xm:f>'Execution Status'!$A$1:$A$8</xm:f>
          </x14:formula1>
          <xm:sqref>I3:I56 I58:I70 I72:I78 I80:I86 I89:I99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1A825-ED7D-4483-AD6A-50F8DF143A5E}">
  <dimension ref="A1:H7"/>
  <sheetViews>
    <sheetView workbookViewId="0">
      <selection activeCell="G17" sqref="G17"/>
    </sheetView>
  </sheetViews>
  <sheetFormatPr defaultRowHeight="15"/>
  <cols>
    <col min="1" max="1" width="65.140625" customWidth="1"/>
    <col min="2" max="6" width="19.5703125" style="16" customWidth="1"/>
    <col min="7" max="7" width="30.5703125" customWidth="1"/>
    <col min="8" max="8" width="49" customWidth="1"/>
    <col min="9" max="9" width="17" customWidth="1"/>
  </cols>
  <sheetData>
    <row r="1" spans="1:8" ht="31.5">
      <c r="A1" s="656" t="s">
        <v>552</v>
      </c>
      <c r="B1" s="656"/>
      <c r="C1" s="656"/>
      <c r="D1" s="656"/>
      <c r="E1" s="656"/>
      <c r="F1" s="656"/>
      <c r="G1" s="656"/>
      <c r="H1" s="656"/>
    </row>
    <row r="2" spans="1:8">
      <c r="A2" s="358" t="s">
        <v>553</v>
      </c>
      <c r="B2" s="332" t="s">
        <v>554</v>
      </c>
      <c r="C2" s="332" t="s">
        <v>555</v>
      </c>
      <c r="D2" s="332" t="s">
        <v>556</v>
      </c>
      <c r="E2" s="332" t="s">
        <v>557</v>
      </c>
      <c r="F2" s="332" t="s">
        <v>558</v>
      </c>
      <c r="G2" s="358" t="s">
        <v>559</v>
      </c>
      <c r="H2" s="358" t="s">
        <v>560</v>
      </c>
    </row>
    <row r="3" spans="1:8">
      <c r="A3" s="3" t="s">
        <v>22</v>
      </c>
      <c r="B3" s="45">
        <v>4</v>
      </c>
      <c r="C3" s="45">
        <v>4</v>
      </c>
      <c r="D3" s="45">
        <v>4</v>
      </c>
      <c r="E3" s="45">
        <v>0</v>
      </c>
      <c r="F3" s="362">
        <v>1</v>
      </c>
      <c r="G3" s="3" t="s">
        <v>561</v>
      </c>
      <c r="H3" s="3" t="s">
        <v>562</v>
      </c>
    </row>
    <row r="4" spans="1:8" ht="45.75" customHeight="1">
      <c r="A4" s="3" t="s">
        <v>563</v>
      </c>
      <c r="B4" s="45">
        <v>10</v>
      </c>
      <c r="C4" s="45">
        <v>10</v>
      </c>
      <c r="D4" s="45">
        <v>7</v>
      </c>
      <c r="E4" s="45">
        <v>3</v>
      </c>
      <c r="F4" s="363">
        <v>0.7</v>
      </c>
      <c r="G4" s="359" t="s">
        <v>564</v>
      </c>
      <c r="H4" s="351" t="s">
        <v>455</v>
      </c>
    </row>
    <row r="5" spans="1:8" ht="30">
      <c r="A5" s="3"/>
      <c r="B5" s="45"/>
      <c r="C5" s="45"/>
      <c r="D5" s="45"/>
      <c r="E5" s="45"/>
      <c r="F5" s="45"/>
      <c r="G5" s="3"/>
      <c r="H5" s="360" t="s">
        <v>565</v>
      </c>
    </row>
    <row r="6" spans="1:8">
      <c r="A6" s="3"/>
      <c r="B6" s="45"/>
      <c r="C6" s="45"/>
      <c r="D6" s="45"/>
      <c r="E6" s="45"/>
      <c r="F6" s="45"/>
      <c r="G6" s="3"/>
      <c r="H6" s="361" t="s">
        <v>427</v>
      </c>
    </row>
    <row r="7" spans="1:8">
      <c r="A7" s="3"/>
      <c r="B7" s="45"/>
      <c r="C7" s="45"/>
      <c r="D7" s="45"/>
      <c r="E7" s="45"/>
      <c r="F7" s="45"/>
      <c r="G7" s="3"/>
      <c r="H7" s="3"/>
    </row>
  </sheetData>
  <mergeCells count="1">
    <mergeCell ref="A1:H1"/>
  </mergeCells>
  <hyperlinks>
    <hyperlink ref="H6" r:id="rId1" xr:uid="{E9FF81C3-8780-4C8B-BEBA-7CE839D57C2D}"/>
    <hyperlink ref="H5" r:id="rId2" xr:uid="{DB8DBDDD-AFA6-421D-822C-DDAA58C78AB4}"/>
    <hyperlink ref="H4" r:id="rId3" xr:uid="{B0B5A063-B284-462C-8B85-9AA563CE38D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AE38B-B982-47AC-90F8-A50347F069C9}">
  <sheetPr>
    <tabColor rgb="FFEDD3F0"/>
  </sheetPr>
  <dimension ref="A1:AD108"/>
  <sheetViews>
    <sheetView tabSelected="1" workbookViewId="0">
      <pane ySplit="2" topLeftCell="A106" activePane="bottomLeft" state="frozen"/>
      <selection pane="bottomLeft" activeCell="T48" sqref="T48"/>
    </sheetView>
  </sheetViews>
  <sheetFormatPr defaultRowHeight="15"/>
  <cols>
    <col min="2" max="2" width="22.5703125" customWidth="1"/>
    <col min="3" max="3" width="38.7109375" customWidth="1"/>
    <col min="4" max="4" width="32.5703125" customWidth="1"/>
    <col min="5" max="5" width="12.28515625" customWidth="1"/>
    <col min="6" max="6" width="15.5703125" customWidth="1"/>
    <col min="7" max="7" width="15.140625" customWidth="1"/>
    <col min="8" max="8" width="13.7109375" customWidth="1"/>
    <col min="9" max="10" width="11.85546875" customWidth="1"/>
    <col min="11" max="11" width="34.85546875" customWidth="1"/>
    <col min="12" max="12" width="13.85546875" customWidth="1"/>
    <col min="15" max="16" width="15.5703125" customWidth="1"/>
    <col min="17" max="17" width="51.5703125" style="120" hidden="1" customWidth="1"/>
    <col min="18" max="18" width="35.140625" style="2" hidden="1" customWidth="1"/>
    <col min="19" max="30" width="19.7109375" style="133" customWidth="1"/>
  </cols>
  <sheetData>
    <row r="1" spans="1:30">
      <c r="S1" s="577" t="s">
        <v>75</v>
      </c>
      <c r="T1" s="578"/>
      <c r="U1" s="578"/>
      <c r="V1" s="579"/>
      <c r="W1" s="406" t="s">
        <v>76</v>
      </c>
      <c r="X1" s="554"/>
      <c r="Y1" s="554"/>
      <c r="Z1" s="555"/>
      <c r="AA1" s="409" t="s">
        <v>77</v>
      </c>
      <c r="AB1" s="556"/>
    </row>
    <row r="2" spans="1:30" ht="60">
      <c r="A2" s="19" t="s">
        <v>491</v>
      </c>
      <c r="B2" s="52" t="s">
        <v>78</v>
      </c>
      <c r="C2" s="14" t="s">
        <v>79</v>
      </c>
      <c r="D2" s="42" t="s">
        <v>367</v>
      </c>
      <c r="E2" s="80" t="s">
        <v>368</v>
      </c>
      <c r="F2" s="42" t="s">
        <v>369</v>
      </c>
      <c r="G2" s="42" t="s">
        <v>370</v>
      </c>
      <c r="H2" s="42" t="s">
        <v>371</v>
      </c>
      <c r="I2" s="82" t="s">
        <v>85</v>
      </c>
      <c r="J2" s="82" t="s">
        <v>566</v>
      </c>
      <c r="K2" s="14" t="s">
        <v>86</v>
      </c>
      <c r="L2" s="42" t="s">
        <v>192</v>
      </c>
      <c r="M2" s="42" t="s">
        <v>567</v>
      </c>
      <c r="N2" s="42" t="s">
        <v>373</v>
      </c>
      <c r="O2" s="42" t="s">
        <v>568</v>
      </c>
      <c r="P2" s="42" t="s">
        <v>569</v>
      </c>
      <c r="Q2" s="116" t="s">
        <v>560</v>
      </c>
      <c r="R2" s="130" t="s">
        <v>570</v>
      </c>
      <c r="S2" s="131" t="s">
        <v>88</v>
      </c>
      <c r="T2" s="182" t="s">
        <v>89</v>
      </c>
      <c r="U2" s="182" t="s">
        <v>82</v>
      </c>
      <c r="V2" s="182" t="s">
        <v>83</v>
      </c>
      <c r="W2" s="131" t="s">
        <v>90</v>
      </c>
      <c r="X2" s="182" t="s">
        <v>89</v>
      </c>
      <c r="Y2" s="182" t="s">
        <v>82</v>
      </c>
      <c r="Z2" s="182" t="s">
        <v>83</v>
      </c>
      <c r="AA2" s="182" t="s">
        <v>82</v>
      </c>
      <c r="AB2" s="182" t="s">
        <v>83</v>
      </c>
      <c r="AC2" s="182" t="s">
        <v>91</v>
      </c>
      <c r="AD2" s="182" t="s">
        <v>92</v>
      </c>
    </row>
    <row r="3" spans="1:30" ht="14.45" customHeight="1">
      <c r="B3" s="613" t="s">
        <v>571</v>
      </c>
      <c r="C3" s="83" t="s">
        <v>572</v>
      </c>
      <c r="D3" s="83"/>
      <c r="E3" s="84">
        <v>45743</v>
      </c>
      <c r="F3" s="84">
        <v>45743</v>
      </c>
      <c r="G3" s="84">
        <v>45743</v>
      </c>
      <c r="H3" s="84">
        <v>45743</v>
      </c>
      <c r="I3" s="85" t="s">
        <v>98</v>
      </c>
      <c r="J3" s="85"/>
      <c r="K3" s="93" t="s">
        <v>382</v>
      </c>
      <c r="L3" s="85"/>
      <c r="M3" s="85"/>
      <c r="N3" s="85"/>
      <c r="O3" s="125"/>
      <c r="P3" s="125"/>
      <c r="Q3" s="125"/>
      <c r="R3" s="125"/>
      <c r="S3" s="125"/>
      <c r="T3" s="125"/>
      <c r="U3" s="125"/>
      <c r="V3" s="125"/>
      <c r="W3" s="125"/>
      <c r="X3" s="125"/>
      <c r="Y3" s="125"/>
      <c r="Z3" s="125"/>
      <c r="AA3" s="414" t="s">
        <v>383</v>
      </c>
      <c r="AB3" s="414" t="s">
        <v>384</v>
      </c>
      <c r="AC3" s="125"/>
      <c r="AD3" s="414" t="s">
        <v>385</v>
      </c>
    </row>
    <row r="4" spans="1:30" ht="14.45" customHeight="1">
      <c r="B4" s="614"/>
      <c r="C4" s="3" t="s">
        <v>573</v>
      </c>
      <c r="D4" s="3"/>
      <c r="E4" s="46">
        <v>45743</v>
      </c>
      <c r="F4" s="46">
        <v>45743</v>
      </c>
      <c r="G4" s="46">
        <v>45743</v>
      </c>
      <c r="H4" s="46">
        <v>45743</v>
      </c>
      <c r="I4" s="45" t="s">
        <v>98</v>
      </c>
      <c r="J4" s="45"/>
      <c r="K4" s="94" t="s">
        <v>388</v>
      </c>
      <c r="L4" s="45"/>
      <c r="M4" s="45"/>
      <c r="N4" s="45"/>
      <c r="O4" s="126"/>
      <c r="P4" s="126"/>
      <c r="Q4" s="117"/>
      <c r="R4" s="180"/>
      <c r="S4" s="125"/>
      <c r="T4" s="125"/>
      <c r="U4" s="125"/>
      <c r="V4" s="125"/>
      <c r="W4" s="125"/>
      <c r="X4" s="125"/>
      <c r="Y4" s="125"/>
      <c r="Z4" s="125"/>
      <c r="AA4" s="560"/>
      <c r="AB4" s="562"/>
      <c r="AC4" s="125"/>
      <c r="AD4" s="562"/>
    </row>
    <row r="5" spans="1:30" ht="14.45" customHeight="1">
      <c r="B5" s="614"/>
      <c r="C5" s="3" t="s">
        <v>574</v>
      </c>
      <c r="D5" s="3" t="s">
        <v>575</v>
      </c>
      <c r="E5" s="46">
        <v>45743</v>
      </c>
      <c r="F5" s="46">
        <v>45743</v>
      </c>
      <c r="G5" s="46">
        <v>45743</v>
      </c>
      <c r="H5" s="46">
        <v>45743</v>
      </c>
      <c r="I5" s="45" t="s">
        <v>98</v>
      </c>
      <c r="J5" s="45"/>
      <c r="K5" s="45" t="s">
        <v>52</v>
      </c>
      <c r="L5" s="45">
        <v>2219</v>
      </c>
      <c r="M5" s="155">
        <v>0.29699999999999999</v>
      </c>
      <c r="N5" s="155">
        <v>0.248</v>
      </c>
      <c r="O5" s="126"/>
      <c r="P5" s="126"/>
      <c r="Q5" s="117"/>
      <c r="R5" s="180"/>
      <c r="AA5" s="560"/>
      <c r="AB5" s="562"/>
      <c r="AD5" s="562"/>
    </row>
    <row r="6" spans="1:30" ht="14.45" customHeight="1">
      <c r="B6" s="614"/>
      <c r="C6" s="3" t="s">
        <v>576</v>
      </c>
      <c r="D6" s="3" t="s">
        <v>577</v>
      </c>
      <c r="E6" s="46">
        <v>45743</v>
      </c>
      <c r="F6" s="46">
        <v>45743</v>
      </c>
      <c r="G6" s="46">
        <v>45743</v>
      </c>
      <c r="H6" s="46">
        <v>45743</v>
      </c>
      <c r="I6" s="45" t="s">
        <v>98</v>
      </c>
      <c r="J6" s="45"/>
      <c r="K6" s="45"/>
      <c r="L6" s="45">
        <v>2210</v>
      </c>
      <c r="M6" s="155">
        <v>0.38500000000000001</v>
      </c>
      <c r="N6" s="155">
        <v>0.47599999999999998</v>
      </c>
      <c r="O6" s="126"/>
      <c r="P6" s="126"/>
      <c r="Q6" s="117"/>
      <c r="R6" s="180"/>
      <c r="S6" s="132"/>
      <c r="T6" s="132"/>
      <c r="U6" s="181"/>
      <c r="V6" s="181"/>
      <c r="W6" s="181"/>
      <c r="X6" s="181"/>
      <c r="Y6" s="181"/>
      <c r="Z6" s="181"/>
      <c r="AA6" s="560"/>
      <c r="AB6" s="562"/>
      <c r="AC6" s="181"/>
      <c r="AD6" s="562"/>
    </row>
    <row r="7" spans="1:30" ht="14.45" customHeight="1">
      <c r="B7" s="614"/>
      <c r="C7" s="3" t="s">
        <v>578</v>
      </c>
      <c r="D7" s="3" t="s">
        <v>579</v>
      </c>
      <c r="E7" s="46">
        <v>45743</v>
      </c>
      <c r="F7" s="46">
        <v>45743</v>
      </c>
      <c r="G7" s="46">
        <v>45743</v>
      </c>
      <c r="H7" s="46">
        <v>45743</v>
      </c>
      <c r="I7" s="45" t="s">
        <v>98</v>
      </c>
      <c r="J7" s="45"/>
      <c r="K7" s="45"/>
      <c r="L7" s="45">
        <v>2202</v>
      </c>
      <c r="M7" s="155">
        <v>0.18</v>
      </c>
      <c r="N7" s="155">
        <v>0.21299999999999999</v>
      </c>
      <c r="O7" s="126"/>
      <c r="P7" s="126"/>
      <c r="Q7" s="117"/>
      <c r="R7" s="180"/>
      <c r="S7" s="132"/>
      <c r="T7" s="132"/>
      <c r="U7" s="181"/>
      <c r="V7" s="181"/>
      <c r="W7" s="181"/>
      <c r="X7" s="181"/>
      <c r="Y7" s="181"/>
      <c r="Z7" s="181"/>
      <c r="AA7" s="560"/>
      <c r="AB7" s="562"/>
      <c r="AC7" s="181"/>
      <c r="AD7" s="562"/>
    </row>
    <row r="8" spans="1:30" ht="14.45" customHeight="1">
      <c r="B8" s="614"/>
      <c r="C8" s="3" t="s">
        <v>580</v>
      </c>
      <c r="D8" s="3" t="s">
        <v>581</v>
      </c>
      <c r="E8" s="46">
        <v>45743</v>
      </c>
      <c r="F8" s="46">
        <v>45743</v>
      </c>
      <c r="G8" s="46">
        <v>45743</v>
      </c>
      <c r="H8" s="46">
        <v>45743</v>
      </c>
      <c r="I8" s="45" t="s">
        <v>98</v>
      </c>
      <c r="J8" s="45"/>
      <c r="K8" s="45"/>
      <c r="L8" s="45">
        <v>2205</v>
      </c>
      <c r="M8" s="155">
        <v>0.20399999999999999</v>
      </c>
      <c r="N8" s="155">
        <v>0.223</v>
      </c>
      <c r="O8" s="126"/>
      <c r="P8" s="126"/>
      <c r="Q8" s="117"/>
      <c r="R8" s="180"/>
      <c r="S8" s="132"/>
      <c r="T8" s="132"/>
      <c r="U8" s="181"/>
      <c r="V8" s="181"/>
      <c r="W8" s="181"/>
      <c r="X8" s="181"/>
      <c r="Y8" s="181"/>
      <c r="Z8" s="181"/>
      <c r="AA8" s="560"/>
      <c r="AB8" s="562"/>
      <c r="AC8" s="181"/>
      <c r="AD8" s="562"/>
    </row>
    <row r="9" spans="1:30" ht="14.45" customHeight="1">
      <c r="B9" s="614"/>
      <c r="C9" s="3" t="s">
        <v>582</v>
      </c>
      <c r="D9" s="3" t="s">
        <v>583</v>
      </c>
      <c r="E9" s="46">
        <v>45743</v>
      </c>
      <c r="F9" s="46">
        <v>45743</v>
      </c>
      <c r="G9" s="46">
        <v>45743</v>
      </c>
      <c r="H9" s="46">
        <v>45743</v>
      </c>
      <c r="I9" s="45" t="s">
        <v>98</v>
      </c>
      <c r="J9" s="45"/>
      <c r="K9" s="45"/>
      <c r="L9" s="45">
        <v>2200</v>
      </c>
      <c r="M9" s="155">
        <v>2.7080000000000002</v>
      </c>
      <c r="N9" s="155">
        <v>3.032</v>
      </c>
      <c r="O9" s="126"/>
      <c r="P9" s="126"/>
      <c r="Q9" s="117"/>
      <c r="R9" s="180"/>
      <c r="S9" s="132"/>
      <c r="T9" s="132"/>
      <c r="U9" s="181"/>
      <c r="V9" s="181"/>
      <c r="W9" s="181"/>
      <c r="X9" s="181"/>
      <c r="Y9" s="181"/>
      <c r="Z9" s="181"/>
      <c r="AA9" s="560"/>
      <c r="AB9" s="562"/>
      <c r="AC9" s="181"/>
      <c r="AD9" s="562"/>
    </row>
    <row r="10" spans="1:30" ht="14.45" customHeight="1">
      <c r="B10" s="614"/>
      <c r="C10" s="3" t="s">
        <v>584</v>
      </c>
      <c r="D10" s="3" t="s">
        <v>585</v>
      </c>
      <c r="E10" s="46">
        <v>45743</v>
      </c>
      <c r="F10" s="46">
        <v>45743</v>
      </c>
      <c r="G10" s="46">
        <v>45743</v>
      </c>
      <c r="H10" s="46">
        <v>45743</v>
      </c>
      <c r="I10" s="45" t="s">
        <v>98</v>
      </c>
      <c r="J10" s="45"/>
      <c r="K10" s="45"/>
      <c r="L10" s="45">
        <v>2200</v>
      </c>
      <c r="M10" s="155">
        <v>4.67</v>
      </c>
      <c r="N10" s="155">
        <v>4.9649999999999999</v>
      </c>
      <c r="O10" s="126"/>
      <c r="P10" s="126"/>
      <c r="Q10" s="117"/>
      <c r="R10" s="180"/>
      <c r="S10" s="132"/>
      <c r="T10" s="132"/>
      <c r="U10" s="181"/>
      <c r="V10" s="181"/>
      <c r="W10" s="181"/>
      <c r="X10" s="181"/>
      <c r="Y10" s="181"/>
      <c r="Z10" s="181"/>
      <c r="AA10" s="560"/>
      <c r="AB10" s="562"/>
      <c r="AC10" s="181"/>
      <c r="AD10" s="562"/>
    </row>
    <row r="11" spans="1:30" ht="14.45" customHeight="1">
      <c r="B11" s="614"/>
      <c r="C11" s="3" t="s">
        <v>586</v>
      </c>
      <c r="D11" s="3" t="s">
        <v>587</v>
      </c>
      <c r="E11" s="46">
        <v>45743</v>
      </c>
      <c r="F11" s="46">
        <v>45743</v>
      </c>
      <c r="G11" s="46">
        <v>45743</v>
      </c>
      <c r="H11" s="46">
        <v>45743</v>
      </c>
      <c r="I11" s="45" t="s">
        <v>98</v>
      </c>
      <c r="J11" s="45"/>
      <c r="K11" s="45"/>
      <c r="L11" s="45">
        <v>2200</v>
      </c>
      <c r="M11" s="155">
        <v>0.20100000000000001</v>
      </c>
      <c r="N11" s="155">
        <v>0.24399999999999999</v>
      </c>
      <c r="O11" s="126"/>
      <c r="P11" s="126"/>
      <c r="Q11" s="117"/>
      <c r="R11" s="180"/>
      <c r="S11" s="132"/>
      <c r="T11" s="132"/>
      <c r="U11" s="181"/>
      <c r="V11" s="181"/>
      <c r="W11" s="181"/>
      <c r="X11" s="181"/>
      <c r="Y11" s="181"/>
      <c r="Z11" s="181"/>
      <c r="AA11" s="560"/>
      <c r="AB11" s="562"/>
      <c r="AC11" s="181"/>
      <c r="AD11" s="562"/>
    </row>
    <row r="12" spans="1:30" ht="14.45" customHeight="1">
      <c r="B12" s="614"/>
      <c r="C12" s="3" t="s">
        <v>588</v>
      </c>
      <c r="D12" s="3" t="s">
        <v>589</v>
      </c>
      <c r="E12" s="46">
        <v>45743</v>
      </c>
      <c r="F12" s="46">
        <v>45743</v>
      </c>
      <c r="G12" s="46">
        <v>45743</v>
      </c>
      <c r="H12" s="46">
        <v>45743</v>
      </c>
      <c r="I12" s="45" t="s">
        <v>98</v>
      </c>
      <c r="J12" s="45"/>
      <c r="K12" s="45"/>
      <c r="L12" s="45">
        <v>2200</v>
      </c>
      <c r="M12" s="155">
        <v>0.159</v>
      </c>
      <c r="N12" s="155">
        <v>0.17599999999999999</v>
      </c>
      <c r="O12" s="126"/>
      <c r="P12" s="126"/>
      <c r="Q12" s="117"/>
      <c r="R12" s="180"/>
      <c r="S12" s="132"/>
      <c r="T12" s="132"/>
      <c r="U12" s="181"/>
      <c r="V12" s="181"/>
      <c r="W12" s="181"/>
      <c r="X12" s="181"/>
      <c r="Y12" s="181"/>
      <c r="Z12" s="181"/>
      <c r="AA12" s="560"/>
      <c r="AB12" s="562"/>
      <c r="AC12" s="181"/>
      <c r="AD12" s="562"/>
    </row>
    <row r="13" spans="1:30" ht="14.45" customHeight="1">
      <c r="B13" s="614"/>
      <c r="C13" s="3" t="s">
        <v>590</v>
      </c>
      <c r="D13" s="3" t="s">
        <v>591</v>
      </c>
      <c r="E13" s="46">
        <v>45743</v>
      </c>
      <c r="F13" s="46">
        <v>45743</v>
      </c>
      <c r="G13" s="46">
        <v>45743</v>
      </c>
      <c r="H13" s="46">
        <v>45743</v>
      </c>
      <c r="I13" s="45" t="s">
        <v>98</v>
      </c>
      <c r="J13" s="45"/>
      <c r="K13" s="45"/>
      <c r="L13" s="45">
        <v>2207</v>
      </c>
      <c r="M13" s="155">
        <v>0.18</v>
      </c>
      <c r="N13" s="155">
        <v>0.21299999999999999</v>
      </c>
      <c r="O13" s="126"/>
      <c r="P13" s="126"/>
      <c r="Q13" s="117"/>
      <c r="R13" s="180"/>
      <c r="S13" s="132"/>
      <c r="T13" s="132"/>
      <c r="U13" s="181"/>
      <c r="V13" s="181"/>
      <c r="W13" s="181"/>
      <c r="X13" s="181"/>
      <c r="Y13" s="181"/>
      <c r="Z13" s="181"/>
      <c r="AA13" s="560"/>
      <c r="AB13" s="562"/>
      <c r="AC13" s="181"/>
      <c r="AD13" s="562"/>
    </row>
    <row r="14" spans="1:30" ht="14.45" customHeight="1">
      <c r="B14" s="614"/>
      <c r="C14" s="3" t="s">
        <v>592</v>
      </c>
      <c r="D14" s="3" t="s">
        <v>593</v>
      </c>
      <c r="E14" s="46">
        <v>45743</v>
      </c>
      <c r="F14" s="46">
        <v>45743</v>
      </c>
      <c r="G14" s="46">
        <v>45743</v>
      </c>
      <c r="H14" s="46">
        <v>45743</v>
      </c>
      <c r="I14" s="45" t="s">
        <v>98</v>
      </c>
      <c r="J14" s="45"/>
      <c r="K14" s="45"/>
      <c r="L14" s="45">
        <v>2201</v>
      </c>
      <c r="M14" s="155">
        <v>1.556</v>
      </c>
      <c r="N14" s="155">
        <v>1.677</v>
      </c>
      <c r="O14" s="126"/>
      <c r="P14" s="126"/>
      <c r="Q14" s="117"/>
      <c r="R14" s="180"/>
      <c r="S14" s="132"/>
      <c r="T14" s="132"/>
      <c r="U14" s="181"/>
      <c r="V14" s="181"/>
      <c r="W14" s="181"/>
      <c r="X14" s="181"/>
      <c r="Y14" s="181"/>
      <c r="Z14" s="181"/>
      <c r="AA14" s="560"/>
      <c r="AB14" s="562"/>
      <c r="AC14" s="181"/>
      <c r="AD14" s="562"/>
    </row>
    <row r="15" spans="1:30" ht="14.45" customHeight="1">
      <c r="B15" s="615"/>
      <c r="C15" s="86" t="s">
        <v>594</v>
      </c>
      <c r="D15" s="86" t="s">
        <v>595</v>
      </c>
      <c r="E15" s="87">
        <v>45743</v>
      </c>
      <c r="F15" s="87">
        <v>45743</v>
      </c>
      <c r="G15" s="87">
        <v>45743</v>
      </c>
      <c r="H15" s="87">
        <v>45743</v>
      </c>
      <c r="I15" s="88" t="s">
        <v>98</v>
      </c>
      <c r="J15" s="88"/>
      <c r="K15" s="88"/>
      <c r="L15" s="88">
        <v>2200</v>
      </c>
      <c r="M15" s="162">
        <v>0.191</v>
      </c>
      <c r="N15" s="162">
        <v>0.215</v>
      </c>
      <c r="O15" s="127"/>
      <c r="P15" s="127"/>
      <c r="Q15" s="118"/>
      <c r="R15" s="180"/>
      <c r="S15" s="132"/>
      <c r="T15" s="132"/>
      <c r="U15" s="181"/>
      <c r="V15" s="181"/>
      <c r="W15" s="181"/>
      <c r="X15" s="181"/>
      <c r="Y15" s="181"/>
      <c r="Z15" s="181"/>
      <c r="AA15" s="560"/>
      <c r="AB15" s="562"/>
      <c r="AC15" s="181"/>
      <c r="AD15" s="562"/>
    </row>
    <row r="16" spans="1:30" ht="14.45" customHeight="1">
      <c r="B16" s="557" t="s">
        <v>596</v>
      </c>
      <c r="C16" s="83" t="s">
        <v>431</v>
      </c>
      <c r="D16" s="83"/>
      <c r="E16" s="90">
        <v>45744</v>
      </c>
      <c r="F16" s="90">
        <v>45744</v>
      </c>
      <c r="G16" s="84">
        <v>45748</v>
      </c>
      <c r="H16" s="84">
        <v>45748</v>
      </c>
      <c r="I16" s="85" t="s">
        <v>98</v>
      </c>
      <c r="J16" s="85"/>
      <c r="K16" s="85"/>
      <c r="L16" s="85"/>
      <c r="M16" s="85"/>
      <c r="N16" s="85"/>
      <c r="O16" s="125"/>
      <c r="P16" s="125"/>
      <c r="Q16" s="616" t="s">
        <v>597</v>
      </c>
      <c r="R16" s="612" t="s">
        <v>598</v>
      </c>
      <c r="S16" s="132"/>
      <c r="T16" s="132"/>
      <c r="U16" s="181"/>
      <c r="V16" s="181"/>
      <c r="W16" s="181"/>
      <c r="X16" s="181"/>
      <c r="Y16" s="181"/>
      <c r="Z16" s="181"/>
      <c r="AA16" s="560"/>
      <c r="AB16" s="562"/>
      <c r="AC16" s="181"/>
      <c r="AD16" s="562"/>
    </row>
    <row r="17" spans="2:30" ht="14.45" customHeight="1">
      <c r="B17" s="558"/>
      <c r="C17" s="3" t="s">
        <v>599</v>
      </c>
      <c r="D17" s="3"/>
      <c r="E17" s="53">
        <v>45744</v>
      </c>
      <c r="F17" s="53">
        <v>45744</v>
      </c>
      <c r="G17" s="46">
        <v>45748</v>
      </c>
      <c r="H17" s="46">
        <v>45748</v>
      </c>
      <c r="I17" s="45" t="s">
        <v>98</v>
      </c>
      <c r="J17" s="45"/>
      <c r="K17" s="45"/>
      <c r="L17" s="45"/>
      <c r="M17" s="45"/>
      <c r="N17" s="45"/>
      <c r="O17" s="126"/>
      <c r="P17" s="126"/>
      <c r="Q17" s="617"/>
      <c r="R17" s="612"/>
      <c r="S17" s="132"/>
      <c r="T17" s="132"/>
      <c r="U17" s="181"/>
      <c r="V17" s="181"/>
      <c r="W17" s="181"/>
      <c r="X17" s="181"/>
      <c r="Y17" s="181"/>
      <c r="Z17" s="181"/>
      <c r="AA17" s="560"/>
      <c r="AB17" s="562"/>
      <c r="AC17" s="181"/>
      <c r="AD17" s="562"/>
    </row>
    <row r="18" spans="2:30" ht="14.45" customHeight="1">
      <c r="B18" s="558"/>
      <c r="C18" s="3" t="s">
        <v>574</v>
      </c>
      <c r="D18" s="3" t="s">
        <v>600</v>
      </c>
      <c r="E18" s="53">
        <v>45744</v>
      </c>
      <c r="F18" s="53">
        <v>45744</v>
      </c>
      <c r="G18" s="46">
        <v>45748</v>
      </c>
      <c r="H18" s="46">
        <v>45748</v>
      </c>
      <c r="I18" s="45" t="s">
        <v>98</v>
      </c>
      <c r="J18" s="45"/>
      <c r="K18" s="45"/>
      <c r="L18" s="45">
        <v>2401</v>
      </c>
      <c r="M18" s="155">
        <v>0.26700000000000002</v>
      </c>
      <c r="N18" s="155">
        <v>0.309</v>
      </c>
      <c r="O18" s="155">
        <v>0.26700000000000002</v>
      </c>
      <c r="P18" s="155">
        <v>0.309</v>
      </c>
      <c r="Q18" s="617"/>
      <c r="R18" s="612"/>
      <c r="S18" s="132"/>
      <c r="T18" s="132"/>
      <c r="U18" s="181"/>
      <c r="V18" s="181"/>
      <c r="W18" s="181"/>
      <c r="X18" s="181"/>
      <c r="Y18" s="181"/>
      <c r="Z18" s="181"/>
      <c r="AA18" s="560"/>
      <c r="AB18" s="562"/>
      <c r="AC18" s="181"/>
      <c r="AD18" s="562"/>
    </row>
    <row r="19" spans="2:30" ht="14.45" customHeight="1">
      <c r="B19" s="558"/>
      <c r="C19" s="3" t="s">
        <v>601</v>
      </c>
      <c r="D19" s="3" t="s">
        <v>602</v>
      </c>
      <c r="E19" s="53">
        <v>45744</v>
      </c>
      <c r="F19" s="53">
        <v>45744</v>
      </c>
      <c r="G19" s="46">
        <v>45748</v>
      </c>
      <c r="H19" s="46">
        <v>45748</v>
      </c>
      <c r="I19" s="45" t="s">
        <v>98</v>
      </c>
      <c r="J19" s="45"/>
      <c r="K19" s="45"/>
      <c r="L19" s="45">
        <v>2401</v>
      </c>
      <c r="M19" s="96">
        <v>6.827</v>
      </c>
      <c r="N19" s="96">
        <v>7.4950000000000001</v>
      </c>
      <c r="O19" s="156">
        <v>3.5870000000000002</v>
      </c>
      <c r="P19" s="156">
        <v>3.8410000000000002</v>
      </c>
      <c r="Q19" s="617"/>
      <c r="R19" s="612"/>
      <c r="S19" s="132"/>
      <c r="T19" s="132"/>
      <c r="U19" s="181"/>
      <c r="V19" s="181"/>
      <c r="W19" s="181"/>
      <c r="X19" s="181"/>
      <c r="Y19" s="181"/>
      <c r="Z19" s="181"/>
      <c r="AA19" s="560"/>
      <c r="AB19" s="562"/>
      <c r="AC19" s="181"/>
      <c r="AD19" s="562"/>
    </row>
    <row r="20" spans="2:30" ht="14.45" customHeight="1">
      <c r="B20" s="558"/>
      <c r="C20" s="3" t="s">
        <v>603</v>
      </c>
      <c r="D20" s="3" t="s">
        <v>604</v>
      </c>
      <c r="E20" s="53">
        <v>45744</v>
      </c>
      <c r="F20" s="53">
        <v>45744</v>
      </c>
      <c r="G20" s="46">
        <v>45748</v>
      </c>
      <c r="H20" s="46">
        <v>45748</v>
      </c>
      <c r="I20" s="45" t="s">
        <v>98</v>
      </c>
      <c r="J20" s="45"/>
      <c r="K20" s="45"/>
      <c r="L20" s="45">
        <v>2401</v>
      </c>
      <c r="M20" s="155">
        <v>3.9420000000000002</v>
      </c>
      <c r="N20" s="155">
        <v>4.2779999999999996</v>
      </c>
      <c r="O20" s="155">
        <v>3.9420000000000002</v>
      </c>
      <c r="P20" s="155">
        <v>4.2779999999999996</v>
      </c>
      <c r="Q20" s="617"/>
      <c r="R20" s="612"/>
      <c r="S20" s="132"/>
      <c r="T20" s="132"/>
      <c r="U20" s="181"/>
      <c r="V20" s="181"/>
      <c r="W20" s="181"/>
      <c r="X20" s="181"/>
      <c r="Y20" s="181"/>
      <c r="Z20" s="181"/>
      <c r="AA20" s="560"/>
      <c r="AB20" s="562"/>
      <c r="AC20" s="181"/>
      <c r="AD20" s="562"/>
    </row>
    <row r="21" spans="2:30" ht="14.45" customHeight="1">
      <c r="B21" s="558"/>
      <c r="C21" s="3" t="s">
        <v>605</v>
      </c>
      <c r="D21" s="3" t="s">
        <v>606</v>
      </c>
      <c r="E21" s="53">
        <v>45744</v>
      </c>
      <c r="F21" s="53">
        <v>45744</v>
      </c>
      <c r="G21" s="46">
        <v>45748</v>
      </c>
      <c r="H21" s="46">
        <v>45748</v>
      </c>
      <c r="I21" s="45" t="s">
        <v>98</v>
      </c>
      <c r="J21" s="45"/>
      <c r="K21" s="45"/>
      <c r="L21" s="45">
        <v>2400</v>
      </c>
      <c r="M21" s="155">
        <v>0.14399999999999999</v>
      </c>
      <c r="N21" s="155">
        <v>0.10100000000000001</v>
      </c>
      <c r="O21" s="155">
        <v>0.14399999999999999</v>
      </c>
      <c r="P21" s="155">
        <v>0.10100000000000001</v>
      </c>
      <c r="Q21" s="617"/>
      <c r="R21" s="612"/>
      <c r="S21" s="132"/>
      <c r="T21" s="132"/>
      <c r="U21" s="181"/>
      <c r="V21" s="181"/>
      <c r="W21" s="181"/>
      <c r="X21" s="181"/>
      <c r="Y21" s="181"/>
      <c r="Z21" s="181"/>
      <c r="AA21" s="560"/>
      <c r="AB21" s="562"/>
      <c r="AC21" s="181"/>
      <c r="AD21" s="562"/>
    </row>
    <row r="22" spans="2:30" ht="14.45" customHeight="1">
      <c r="B22" s="558"/>
      <c r="C22" s="3" t="s">
        <v>607</v>
      </c>
      <c r="D22" s="3" t="s">
        <v>608</v>
      </c>
      <c r="E22" s="53">
        <v>45744</v>
      </c>
      <c r="F22" s="53">
        <v>45744</v>
      </c>
      <c r="G22" s="46">
        <v>45748</v>
      </c>
      <c r="H22" s="46">
        <v>45748</v>
      </c>
      <c r="I22" s="45" t="s">
        <v>98</v>
      </c>
      <c r="J22" s="45"/>
      <c r="K22" s="45"/>
      <c r="L22" s="45">
        <v>2399</v>
      </c>
      <c r="M22" s="155">
        <v>2.069</v>
      </c>
      <c r="N22" s="155">
        <v>2.2149999999999999</v>
      </c>
      <c r="O22" s="155">
        <v>2.069</v>
      </c>
      <c r="P22" s="155">
        <v>2.2149999999999999</v>
      </c>
      <c r="Q22" s="617"/>
      <c r="R22" s="612"/>
      <c r="S22" s="132"/>
      <c r="T22" s="132"/>
      <c r="U22" s="181"/>
      <c r="V22" s="181"/>
      <c r="W22" s="181"/>
      <c r="X22" s="181"/>
      <c r="Y22" s="181"/>
      <c r="Z22" s="181"/>
      <c r="AA22" s="560"/>
      <c r="AB22" s="562"/>
      <c r="AC22" s="181"/>
      <c r="AD22" s="562"/>
    </row>
    <row r="23" spans="2:30" ht="14.45" customHeight="1">
      <c r="B23" s="558"/>
      <c r="C23" s="3" t="s">
        <v>609</v>
      </c>
      <c r="D23" s="3" t="s">
        <v>610</v>
      </c>
      <c r="E23" s="53">
        <v>45744</v>
      </c>
      <c r="F23" s="53">
        <v>45744</v>
      </c>
      <c r="G23" s="46">
        <v>45748</v>
      </c>
      <c r="H23" s="46">
        <v>45748</v>
      </c>
      <c r="I23" s="45" t="s">
        <v>98</v>
      </c>
      <c r="J23" s="45"/>
      <c r="K23" s="45"/>
      <c r="L23" s="45">
        <v>2399</v>
      </c>
      <c r="M23" s="155">
        <v>1.5529999999999999</v>
      </c>
      <c r="N23" s="155">
        <v>1.663</v>
      </c>
      <c r="O23" s="155">
        <v>1.5529999999999999</v>
      </c>
      <c r="P23" s="155">
        <v>1.663</v>
      </c>
      <c r="Q23" s="617"/>
      <c r="R23" s="612"/>
      <c r="S23" s="132"/>
      <c r="T23" s="132"/>
      <c r="U23" s="181"/>
      <c r="V23" s="181"/>
      <c r="W23" s="181"/>
      <c r="X23" s="181"/>
      <c r="Y23" s="181"/>
      <c r="Z23" s="181"/>
      <c r="AA23" s="560"/>
      <c r="AB23" s="562"/>
      <c r="AC23" s="181"/>
      <c r="AD23" s="562"/>
    </row>
    <row r="24" spans="2:30" ht="36.75" customHeight="1">
      <c r="B24" s="559"/>
      <c r="C24" s="86" t="s">
        <v>611</v>
      </c>
      <c r="D24" s="86" t="s">
        <v>612</v>
      </c>
      <c r="E24" s="91">
        <v>45744</v>
      </c>
      <c r="F24" s="91">
        <v>45744</v>
      </c>
      <c r="G24" s="87">
        <v>45748</v>
      </c>
      <c r="H24" s="87">
        <v>45748</v>
      </c>
      <c r="I24" s="88" t="s">
        <v>98</v>
      </c>
      <c r="J24" s="88"/>
      <c r="K24" s="88"/>
      <c r="L24" s="88">
        <v>2398</v>
      </c>
      <c r="M24" s="162">
        <v>5.0110000000000001</v>
      </c>
      <c r="N24" s="162">
        <v>5.48</v>
      </c>
      <c r="O24" s="162">
        <v>5.0110000000000001</v>
      </c>
      <c r="P24" s="162">
        <v>5.48</v>
      </c>
      <c r="Q24" s="618"/>
      <c r="R24" s="612"/>
      <c r="S24" s="132"/>
      <c r="T24" s="132"/>
      <c r="U24" s="181"/>
      <c r="V24" s="181"/>
      <c r="W24" s="181"/>
      <c r="X24" s="181"/>
      <c r="Y24" s="181"/>
      <c r="Z24" s="181"/>
      <c r="AA24" s="560"/>
      <c r="AB24" s="562"/>
      <c r="AC24" s="181"/>
      <c r="AD24" s="562"/>
    </row>
    <row r="25" spans="2:30" ht="14.45" customHeight="1">
      <c r="B25" s="557" t="s">
        <v>613</v>
      </c>
      <c r="C25" s="83" t="s">
        <v>431</v>
      </c>
      <c r="D25" s="83"/>
      <c r="E25" s="90">
        <v>45744</v>
      </c>
      <c r="F25" s="90">
        <v>45744</v>
      </c>
      <c r="G25" s="84">
        <v>45748</v>
      </c>
      <c r="H25" s="84">
        <v>45748</v>
      </c>
      <c r="I25" s="85" t="s">
        <v>98</v>
      </c>
      <c r="J25" s="85"/>
      <c r="K25" s="85"/>
      <c r="L25" s="85"/>
      <c r="M25" s="85"/>
      <c r="N25" s="85"/>
      <c r="O25" s="128"/>
      <c r="P25" s="128"/>
      <c r="Q25" s="619" t="s">
        <v>614</v>
      </c>
      <c r="R25" s="622" t="s">
        <v>615</v>
      </c>
      <c r="S25" s="132"/>
      <c r="T25" s="132"/>
      <c r="U25" s="181"/>
      <c r="V25" s="181"/>
      <c r="W25" s="181"/>
      <c r="X25" s="181"/>
      <c r="Y25" s="181"/>
      <c r="Z25" s="181"/>
      <c r="AA25" s="560"/>
      <c r="AB25" s="562"/>
      <c r="AC25" s="181"/>
      <c r="AD25" s="562"/>
    </row>
    <row r="26" spans="2:30" ht="14.45" customHeight="1">
      <c r="B26" s="558"/>
      <c r="C26" s="3" t="s">
        <v>599</v>
      </c>
      <c r="D26" s="3"/>
      <c r="E26" s="53">
        <v>45744</v>
      </c>
      <c r="F26" s="53">
        <v>45744</v>
      </c>
      <c r="G26" s="46">
        <v>45748</v>
      </c>
      <c r="H26" s="46">
        <v>45748</v>
      </c>
      <c r="I26" s="45" t="s">
        <v>98</v>
      </c>
      <c r="J26" s="45"/>
      <c r="K26" s="45"/>
      <c r="L26" s="45"/>
      <c r="M26" s="45"/>
      <c r="N26" s="45"/>
      <c r="O26" s="89"/>
      <c r="P26" s="89"/>
      <c r="Q26" s="620"/>
      <c r="R26" s="622"/>
      <c r="S26" s="132"/>
      <c r="T26" s="132"/>
      <c r="U26" s="181"/>
      <c r="V26" s="181"/>
      <c r="W26" s="181"/>
      <c r="X26" s="181"/>
      <c r="Y26" s="181"/>
      <c r="Z26" s="181"/>
      <c r="AA26" s="560"/>
      <c r="AB26" s="562"/>
      <c r="AC26" s="181"/>
      <c r="AD26" s="562"/>
    </row>
    <row r="27" spans="2:30" ht="14.45" customHeight="1">
      <c r="B27" s="558"/>
      <c r="C27" s="3" t="s">
        <v>574</v>
      </c>
      <c r="D27" s="3" t="s">
        <v>600</v>
      </c>
      <c r="E27" s="53">
        <v>45744</v>
      </c>
      <c r="F27" s="53">
        <v>45744</v>
      </c>
      <c r="G27" s="46">
        <v>45748</v>
      </c>
      <c r="H27" s="46">
        <v>45748</v>
      </c>
      <c r="I27" s="45" t="s">
        <v>98</v>
      </c>
      <c r="J27" s="45"/>
      <c r="K27" s="45"/>
      <c r="L27" s="45">
        <v>2402</v>
      </c>
      <c r="M27" s="155">
        <v>0.27700000000000002</v>
      </c>
      <c r="N27" s="155">
        <v>0.255</v>
      </c>
      <c r="O27" s="155">
        <v>0.27700000000000002</v>
      </c>
      <c r="P27" s="155">
        <v>0.255</v>
      </c>
      <c r="Q27" s="620"/>
      <c r="R27" s="622"/>
      <c r="S27" s="132"/>
      <c r="T27" s="132"/>
      <c r="U27" s="181"/>
      <c r="V27" s="181"/>
      <c r="W27" s="181"/>
      <c r="X27" s="181"/>
      <c r="Y27" s="181"/>
      <c r="Z27" s="181"/>
      <c r="AA27" s="560"/>
      <c r="AB27" s="562"/>
      <c r="AC27" s="181"/>
      <c r="AD27" s="562"/>
    </row>
    <row r="28" spans="2:30" ht="14.45" customHeight="1">
      <c r="B28" s="558"/>
      <c r="C28" s="3" t="s">
        <v>601</v>
      </c>
      <c r="D28" s="3" t="s">
        <v>602</v>
      </c>
      <c r="E28" s="53">
        <v>45744</v>
      </c>
      <c r="F28" s="53">
        <v>45744</v>
      </c>
      <c r="G28" s="46">
        <v>45748</v>
      </c>
      <c r="H28" s="46">
        <v>45748</v>
      </c>
      <c r="I28" s="123" t="s">
        <v>98</v>
      </c>
      <c r="J28" s="123"/>
      <c r="K28" s="45"/>
      <c r="L28" s="45">
        <v>2402</v>
      </c>
      <c r="M28" s="96">
        <v>7.2290000000000001</v>
      </c>
      <c r="N28" s="96">
        <v>8.2530000000000001</v>
      </c>
      <c r="O28" s="156">
        <v>3.5870000000000002</v>
      </c>
      <c r="P28" s="156">
        <v>3.8410000000000002</v>
      </c>
      <c r="Q28" s="620"/>
      <c r="R28" s="622"/>
      <c r="S28" s="132"/>
      <c r="T28" s="132"/>
      <c r="U28" s="181"/>
      <c r="V28" s="181"/>
      <c r="W28" s="181"/>
      <c r="X28" s="181"/>
      <c r="Y28" s="181"/>
      <c r="Z28" s="181"/>
      <c r="AA28" s="561"/>
      <c r="AB28" s="415"/>
      <c r="AC28" s="181"/>
      <c r="AD28" s="415"/>
    </row>
    <row r="29" spans="2:30" ht="14.45" customHeight="1">
      <c r="B29" s="558"/>
      <c r="C29" s="3" t="s">
        <v>603</v>
      </c>
      <c r="D29" s="3" t="s">
        <v>604</v>
      </c>
      <c r="E29" s="53">
        <v>45744</v>
      </c>
      <c r="F29" s="53">
        <v>45744</v>
      </c>
      <c r="G29" s="46">
        <v>45748</v>
      </c>
      <c r="H29" s="46">
        <v>45748</v>
      </c>
      <c r="I29" s="45" t="s">
        <v>98</v>
      </c>
      <c r="J29" s="45"/>
      <c r="K29" s="45"/>
      <c r="L29" s="45">
        <v>2402</v>
      </c>
      <c r="M29" s="155">
        <v>4.2309999999999999</v>
      </c>
      <c r="N29" s="155">
        <v>4.4560000000000004</v>
      </c>
      <c r="O29" s="155">
        <v>4.2309999999999999</v>
      </c>
      <c r="P29" s="155">
        <v>4.4560000000000004</v>
      </c>
      <c r="Q29" s="620"/>
      <c r="R29" s="622"/>
      <c r="S29" s="132"/>
      <c r="T29" s="132"/>
      <c r="U29" s="181"/>
      <c r="V29" s="181"/>
      <c r="W29" s="181"/>
      <c r="X29" s="181"/>
      <c r="Y29" s="181"/>
      <c r="Z29" s="181"/>
      <c r="AA29" s="181"/>
      <c r="AB29" s="181"/>
      <c r="AC29" s="181"/>
      <c r="AD29" s="181"/>
    </row>
    <row r="30" spans="2:30" ht="14.45" customHeight="1">
      <c r="B30" s="558"/>
      <c r="C30" s="3" t="s">
        <v>616</v>
      </c>
      <c r="D30" s="3" t="s">
        <v>617</v>
      </c>
      <c r="E30" s="53">
        <v>45744</v>
      </c>
      <c r="F30" s="53">
        <v>45744</v>
      </c>
      <c r="G30" s="46">
        <v>45748</v>
      </c>
      <c r="H30" s="46">
        <v>45748</v>
      </c>
      <c r="I30" s="45" t="s">
        <v>98</v>
      </c>
      <c r="J30" s="45"/>
      <c r="K30" s="45"/>
      <c r="L30" s="45">
        <v>2401</v>
      </c>
      <c r="M30" s="155">
        <v>0.50900000000000001</v>
      </c>
      <c r="N30" s="155">
        <v>0.57299999999999995</v>
      </c>
      <c r="O30" s="155">
        <v>0.50900000000000001</v>
      </c>
      <c r="P30" s="155">
        <v>0.57299999999999995</v>
      </c>
      <c r="Q30" s="620"/>
      <c r="R30" s="622"/>
      <c r="S30" s="132"/>
      <c r="T30" s="132"/>
      <c r="U30" s="181"/>
      <c r="V30" s="181"/>
      <c r="W30" s="181"/>
      <c r="X30" s="181"/>
      <c r="Y30" s="181"/>
      <c r="Z30" s="181"/>
      <c r="AA30" s="181"/>
      <c r="AB30" s="181"/>
      <c r="AC30" s="181"/>
      <c r="AD30" s="181"/>
    </row>
    <row r="31" spans="2:30" ht="14.45" customHeight="1">
      <c r="B31" s="559"/>
      <c r="C31" s="86" t="s">
        <v>618</v>
      </c>
      <c r="D31" s="86" t="s">
        <v>619</v>
      </c>
      <c r="E31" s="91">
        <v>45744</v>
      </c>
      <c r="F31" s="91">
        <v>45744</v>
      </c>
      <c r="G31" s="87">
        <v>45748</v>
      </c>
      <c r="H31" s="87">
        <v>45748</v>
      </c>
      <c r="I31" s="88" t="s">
        <v>98</v>
      </c>
      <c r="J31" s="88"/>
      <c r="K31" s="88"/>
      <c r="L31" s="88">
        <v>2400</v>
      </c>
      <c r="M31" s="162">
        <v>3.85</v>
      </c>
      <c r="N31" s="162">
        <v>4.1120000000000001</v>
      </c>
      <c r="O31" s="162">
        <v>3.85</v>
      </c>
      <c r="P31" s="162">
        <v>4.1120000000000001</v>
      </c>
      <c r="Q31" s="621"/>
      <c r="R31" s="622"/>
      <c r="S31" s="132"/>
      <c r="T31" s="132"/>
      <c r="U31" s="181"/>
      <c r="V31" s="181"/>
      <c r="W31" s="181"/>
      <c r="X31" s="181"/>
      <c r="Y31" s="181"/>
      <c r="Z31" s="181"/>
      <c r="AA31" s="181"/>
      <c r="AB31" s="181"/>
      <c r="AC31" s="181"/>
      <c r="AD31" s="181"/>
    </row>
    <row r="32" spans="2:30" ht="14.45" customHeight="1">
      <c r="B32" s="557" t="s">
        <v>620</v>
      </c>
      <c r="C32" s="83" t="s">
        <v>431</v>
      </c>
      <c r="D32" s="83"/>
      <c r="E32" s="90">
        <v>45744</v>
      </c>
      <c r="F32" s="90">
        <v>45744</v>
      </c>
      <c r="G32" s="84">
        <v>45748</v>
      </c>
      <c r="H32" s="84">
        <v>45748</v>
      </c>
      <c r="I32" s="85" t="s">
        <v>98</v>
      </c>
      <c r="J32" s="85"/>
      <c r="K32" s="85"/>
      <c r="L32" s="85"/>
      <c r="M32" s="85"/>
      <c r="N32" s="85"/>
      <c r="O32" s="125"/>
      <c r="P32" s="125"/>
      <c r="Q32" s="616" t="s">
        <v>614</v>
      </c>
      <c r="R32" s="622" t="s">
        <v>621</v>
      </c>
      <c r="S32" s="132"/>
      <c r="T32" s="132"/>
      <c r="U32" s="181"/>
      <c r="V32" s="181"/>
      <c r="W32" s="181"/>
      <c r="X32" s="181"/>
      <c r="Y32" s="181"/>
      <c r="Z32" s="181"/>
      <c r="AA32" s="181"/>
      <c r="AB32" s="181"/>
      <c r="AC32" s="181"/>
      <c r="AD32" s="181"/>
    </row>
    <row r="33" spans="2:30" ht="14.45" customHeight="1">
      <c r="B33" s="558"/>
      <c r="C33" s="3" t="s">
        <v>599</v>
      </c>
      <c r="D33" s="3"/>
      <c r="E33" s="53">
        <v>45744</v>
      </c>
      <c r="F33" s="53">
        <v>45744</v>
      </c>
      <c r="G33" s="46">
        <v>45748</v>
      </c>
      <c r="H33" s="46">
        <v>45748</v>
      </c>
      <c r="I33" s="45" t="s">
        <v>98</v>
      </c>
      <c r="J33" s="45"/>
      <c r="K33" s="45"/>
      <c r="L33" s="45"/>
      <c r="M33" s="45"/>
      <c r="N33" s="45"/>
      <c r="O33" s="126"/>
      <c r="P33" s="126"/>
      <c r="Q33" s="617"/>
      <c r="R33" s="622"/>
      <c r="S33" s="132"/>
      <c r="T33" s="132"/>
      <c r="U33" s="181"/>
      <c r="V33" s="181"/>
      <c r="W33" s="181"/>
      <c r="X33" s="181"/>
      <c r="Y33" s="181"/>
      <c r="Z33" s="181"/>
      <c r="AA33" s="181"/>
      <c r="AB33" s="181"/>
      <c r="AC33" s="181"/>
      <c r="AD33" s="181"/>
    </row>
    <row r="34" spans="2:30" ht="14.45" customHeight="1">
      <c r="B34" s="558"/>
      <c r="C34" s="3" t="s">
        <v>574</v>
      </c>
      <c r="D34" s="3" t="s">
        <v>600</v>
      </c>
      <c r="E34" s="53">
        <v>45744</v>
      </c>
      <c r="F34" s="53">
        <v>45744</v>
      </c>
      <c r="G34" s="46">
        <v>45748</v>
      </c>
      <c r="H34" s="46">
        <v>45748</v>
      </c>
      <c r="I34" s="45" t="s">
        <v>98</v>
      </c>
      <c r="J34" s="45"/>
      <c r="K34" s="45"/>
      <c r="L34" s="45">
        <v>2424</v>
      </c>
      <c r="M34" s="155">
        <v>0.23400000000000001</v>
      </c>
      <c r="N34" s="155">
        <v>0.24199999999999999</v>
      </c>
      <c r="O34" s="155">
        <v>0.23400000000000001</v>
      </c>
      <c r="P34" s="155">
        <v>0.24199999999999999</v>
      </c>
      <c r="Q34" s="617"/>
      <c r="R34" s="622"/>
      <c r="S34" s="132"/>
      <c r="T34" s="132"/>
      <c r="U34" s="181"/>
      <c r="V34" s="181"/>
      <c r="W34" s="181"/>
      <c r="X34" s="181"/>
      <c r="Y34" s="181"/>
      <c r="Z34" s="181"/>
      <c r="AA34" s="181"/>
      <c r="AB34" s="181"/>
      <c r="AC34" s="181"/>
      <c r="AD34" s="181"/>
    </row>
    <row r="35" spans="2:30" ht="14.45" customHeight="1">
      <c r="B35" s="558"/>
      <c r="C35" s="3" t="s">
        <v>601</v>
      </c>
      <c r="D35" s="3" t="s">
        <v>602</v>
      </c>
      <c r="E35" s="53">
        <v>45744</v>
      </c>
      <c r="F35" s="53">
        <v>45744</v>
      </c>
      <c r="G35" s="46">
        <v>45748</v>
      </c>
      <c r="H35" s="46">
        <v>45748</v>
      </c>
      <c r="I35" s="45" t="s">
        <v>98</v>
      </c>
      <c r="J35" s="45"/>
      <c r="K35" s="45"/>
      <c r="L35" s="45">
        <v>2423</v>
      </c>
      <c r="M35" s="96">
        <v>6.9210000000000003</v>
      </c>
      <c r="N35" s="96">
        <v>7.7809999999999997</v>
      </c>
      <c r="O35" s="156">
        <v>3.5870000000000002</v>
      </c>
      <c r="P35" s="156">
        <v>3.8410000000000002</v>
      </c>
      <c r="Q35" s="617"/>
      <c r="R35" s="622"/>
      <c r="S35" s="132"/>
      <c r="T35" s="132"/>
      <c r="U35" s="181"/>
      <c r="V35" s="181"/>
      <c r="W35" s="181"/>
      <c r="X35" s="181"/>
      <c r="Y35" s="181"/>
      <c r="Z35" s="181"/>
      <c r="AA35" s="181"/>
      <c r="AB35" s="181"/>
      <c r="AC35" s="181"/>
      <c r="AD35" s="181"/>
    </row>
    <row r="36" spans="2:30" ht="14.45" customHeight="1">
      <c r="B36" s="558"/>
      <c r="C36" s="3" t="s">
        <v>603</v>
      </c>
      <c r="D36" s="3" t="s">
        <v>604</v>
      </c>
      <c r="E36" s="53">
        <v>45744</v>
      </c>
      <c r="F36" s="53">
        <v>45744</v>
      </c>
      <c r="G36" s="46">
        <v>45748</v>
      </c>
      <c r="H36" s="46">
        <v>45748</v>
      </c>
      <c r="I36" s="45" t="s">
        <v>98</v>
      </c>
      <c r="J36" s="45"/>
      <c r="K36" s="45"/>
      <c r="L36" s="45">
        <v>2400</v>
      </c>
      <c r="M36" s="155">
        <v>3.887</v>
      </c>
      <c r="N36" s="155">
        <v>4.2060000000000004</v>
      </c>
      <c r="O36" s="155">
        <v>3.887</v>
      </c>
      <c r="P36" s="155">
        <v>4.2060000000000004</v>
      </c>
      <c r="Q36" s="617"/>
      <c r="R36" s="622"/>
      <c r="S36" s="132"/>
      <c r="T36" s="132"/>
      <c r="U36" s="181"/>
      <c r="V36" s="181"/>
      <c r="W36" s="181"/>
      <c r="X36" s="181"/>
      <c r="Y36" s="181"/>
      <c r="Z36" s="181"/>
      <c r="AA36" s="181"/>
      <c r="AB36" s="181"/>
      <c r="AC36" s="181"/>
      <c r="AD36" s="181"/>
    </row>
    <row r="37" spans="2:30" ht="14.45" customHeight="1">
      <c r="B37" s="558"/>
      <c r="C37" s="3" t="s">
        <v>616</v>
      </c>
      <c r="D37" s="3" t="s">
        <v>617</v>
      </c>
      <c r="E37" s="53">
        <v>45744</v>
      </c>
      <c r="F37" s="53">
        <v>45744</v>
      </c>
      <c r="G37" s="46">
        <v>45748</v>
      </c>
      <c r="H37" s="46">
        <v>45748</v>
      </c>
      <c r="I37" s="45" t="s">
        <v>98</v>
      </c>
      <c r="J37" s="45"/>
      <c r="K37" s="45"/>
      <c r="L37" s="45">
        <v>2400</v>
      </c>
      <c r="M37" s="155">
        <v>0.48599999999999999</v>
      </c>
      <c r="N37" s="155">
        <v>0.48099999999999998</v>
      </c>
      <c r="O37" s="155">
        <v>0.48599999999999999</v>
      </c>
      <c r="P37" s="155">
        <v>0.48099999999999998</v>
      </c>
      <c r="Q37" s="617"/>
      <c r="R37" s="622"/>
      <c r="S37" s="132"/>
      <c r="T37" s="132"/>
      <c r="U37" s="181"/>
      <c r="V37" s="181"/>
      <c r="W37" s="181"/>
      <c r="X37" s="181"/>
      <c r="Y37" s="181"/>
      <c r="Z37" s="181"/>
      <c r="AA37" s="181"/>
      <c r="AB37" s="181"/>
      <c r="AC37" s="181"/>
      <c r="AD37" s="181"/>
    </row>
    <row r="38" spans="2:30" ht="20.25" customHeight="1">
      <c r="B38" s="559"/>
      <c r="C38" s="86" t="s">
        <v>622</v>
      </c>
      <c r="D38" s="86" t="s">
        <v>623</v>
      </c>
      <c r="E38" s="91">
        <v>45744</v>
      </c>
      <c r="F38" s="91">
        <v>45744</v>
      </c>
      <c r="G38" s="87">
        <v>45748</v>
      </c>
      <c r="H38" s="87">
        <v>45748</v>
      </c>
      <c r="I38" s="88" t="s">
        <v>98</v>
      </c>
      <c r="J38" s="88"/>
      <c r="K38" s="88"/>
      <c r="L38" s="88">
        <v>2400</v>
      </c>
      <c r="M38" s="162">
        <v>2.4359999999999999</v>
      </c>
      <c r="N38" s="162">
        <v>2.6789999999999998</v>
      </c>
      <c r="O38" s="162">
        <v>2.4359999999999999</v>
      </c>
      <c r="P38" s="162">
        <v>2.6789999999999998</v>
      </c>
      <c r="Q38" s="618"/>
      <c r="R38" s="622"/>
      <c r="S38" s="132"/>
      <c r="T38" s="132"/>
      <c r="U38" s="181"/>
      <c r="V38" s="181"/>
      <c r="W38" s="181"/>
      <c r="X38" s="181"/>
      <c r="Y38" s="181"/>
      <c r="Z38" s="181"/>
      <c r="AA38" s="181"/>
      <c r="AB38" s="181"/>
      <c r="AC38" s="181"/>
      <c r="AD38" s="181"/>
    </row>
    <row r="39" spans="2:30" ht="14.45" customHeight="1">
      <c r="B39" s="557" t="s">
        <v>624</v>
      </c>
      <c r="C39" s="83" t="s">
        <v>431</v>
      </c>
      <c r="D39" s="83"/>
      <c r="E39" s="90">
        <v>45744</v>
      </c>
      <c r="F39" s="90">
        <v>45744</v>
      </c>
      <c r="G39" s="84">
        <v>45749</v>
      </c>
      <c r="H39" s="84">
        <v>45749</v>
      </c>
      <c r="I39" s="85" t="s">
        <v>98</v>
      </c>
      <c r="J39" s="85"/>
      <c r="K39" s="85"/>
      <c r="L39" s="85"/>
      <c r="M39" s="85"/>
      <c r="N39" s="85"/>
      <c r="O39" s="125"/>
      <c r="P39" s="125"/>
      <c r="Q39" s="616" t="s">
        <v>625</v>
      </c>
      <c r="R39" s="612" t="s">
        <v>626</v>
      </c>
      <c r="S39" s="132"/>
      <c r="T39" s="132"/>
      <c r="U39" s="181"/>
      <c r="V39" s="181"/>
      <c r="W39" s="181"/>
      <c r="X39" s="181"/>
      <c r="Y39" s="181"/>
      <c r="Z39" s="181"/>
      <c r="AA39" s="181"/>
      <c r="AB39" s="181"/>
      <c r="AC39" s="181"/>
      <c r="AD39" s="181"/>
    </row>
    <row r="40" spans="2:30" ht="14.45" customHeight="1">
      <c r="B40" s="558"/>
      <c r="C40" s="3" t="s">
        <v>599</v>
      </c>
      <c r="D40" s="3"/>
      <c r="E40" s="53">
        <v>45744</v>
      </c>
      <c r="F40" s="53">
        <v>45744</v>
      </c>
      <c r="G40" s="46">
        <v>45749</v>
      </c>
      <c r="H40" s="46">
        <v>45749</v>
      </c>
      <c r="I40" s="45" t="s">
        <v>98</v>
      </c>
      <c r="J40" s="45"/>
      <c r="K40" s="45"/>
      <c r="L40" s="45"/>
      <c r="M40" s="45"/>
      <c r="N40" s="45"/>
      <c r="O40" s="126"/>
      <c r="P40" s="126"/>
      <c r="Q40" s="617"/>
      <c r="R40" s="612"/>
      <c r="S40" s="132"/>
      <c r="T40" s="132"/>
      <c r="U40" s="181"/>
      <c r="V40" s="181"/>
      <c r="W40" s="181"/>
      <c r="X40" s="181"/>
      <c r="Y40" s="181"/>
      <c r="Z40" s="181"/>
      <c r="AA40" s="181"/>
      <c r="AB40" s="181"/>
      <c r="AC40" s="181"/>
      <c r="AD40" s="181"/>
    </row>
    <row r="41" spans="2:30" ht="14.45" customHeight="1">
      <c r="B41" s="558"/>
      <c r="C41" s="3" t="s">
        <v>574</v>
      </c>
      <c r="D41" s="3" t="s">
        <v>600</v>
      </c>
      <c r="E41" s="53">
        <v>45744</v>
      </c>
      <c r="F41" s="53">
        <v>45744</v>
      </c>
      <c r="G41" s="46">
        <v>45749</v>
      </c>
      <c r="H41" s="46">
        <v>45749</v>
      </c>
      <c r="I41" s="45" t="s">
        <v>98</v>
      </c>
      <c r="J41" s="45"/>
      <c r="K41" s="45"/>
      <c r="L41" s="45">
        <v>2401</v>
      </c>
      <c r="M41" s="155">
        <v>0.316</v>
      </c>
      <c r="N41" s="155">
        <v>0.27300000000000002</v>
      </c>
      <c r="O41" s="155">
        <v>0.316</v>
      </c>
      <c r="P41" s="155">
        <v>0.27300000000000002</v>
      </c>
      <c r="Q41" s="617"/>
      <c r="R41" s="612"/>
      <c r="S41" s="132"/>
      <c r="T41" s="132"/>
      <c r="U41" s="181"/>
      <c r="V41" s="181"/>
      <c r="W41" s="181"/>
      <c r="X41" s="181"/>
      <c r="Y41" s="181"/>
      <c r="Z41" s="181"/>
      <c r="AA41" s="181"/>
      <c r="AB41" s="181"/>
      <c r="AC41" s="181"/>
      <c r="AD41" s="181"/>
    </row>
    <row r="42" spans="2:30" ht="14.45" customHeight="1">
      <c r="B42" s="558"/>
      <c r="C42" s="3" t="s">
        <v>601</v>
      </c>
      <c r="D42" s="3" t="s">
        <v>602</v>
      </c>
      <c r="E42" s="53">
        <v>45744</v>
      </c>
      <c r="F42" s="53">
        <v>45744</v>
      </c>
      <c r="G42" s="46">
        <v>45749</v>
      </c>
      <c r="H42" s="46">
        <v>45749</v>
      </c>
      <c r="I42" s="45" t="s">
        <v>98</v>
      </c>
      <c r="J42" s="45"/>
      <c r="K42" s="45"/>
      <c r="L42" s="45">
        <v>2400</v>
      </c>
      <c r="M42" s="96">
        <v>7.3090000000000002</v>
      </c>
      <c r="N42" s="96">
        <v>7.8339999999999996</v>
      </c>
      <c r="O42" s="156">
        <v>3.5870000000000002</v>
      </c>
      <c r="P42" s="156">
        <v>3.8410000000000002</v>
      </c>
      <c r="Q42" s="617"/>
      <c r="R42" s="612"/>
      <c r="S42" s="132"/>
      <c r="T42" s="132"/>
      <c r="U42" s="181"/>
      <c r="V42" s="181"/>
      <c r="W42" s="181"/>
      <c r="X42" s="181"/>
      <c r="Y42" s="181"/>
      <c r="Z42" s="181"/>
      <c r="AA42" s="181"/>
      <c r="AB42" s="181"/>
      <c r="AC42" s="181"/>
      <c r="AD42" s="181"/>
    </row>
    <row r="43" spans="2:30" ht="14.45" customHeight="1">
      <c r="B43" s="558"/>
      <c r="C43" s="3" t="s">
        <v>603</v>
      </c>
      <c r="D43" s="3" t="s">
        <v>604</v>
      </c>
      <c r="E43" s="53">
        <v>45744</v>
      </c>
      <c r="F43" s="53">
        <v>45744</v>
      </c>
      <c r="G43" s="46">
        <v>45749</v>
      </c>
      <c r="H43" s="46">
        <v>45749</v>
      </c>
      <c r="I43" s="45" t="s">
        <v>98</v>
      </c>
      <c r="J43" s="45"/>
      <c r="K43" s="45"/>
      <c r="L43" s="45">
        <v>2400</v>
      </c>
      <c r="M43" s="155">
        <v>4.2430000000000003</v>
      </c>
      <c r="N43" s="155">
        <v>4.4349999999999996</v>
      </c>
      <c r="O43" s="155">
        <v>4.2430000000000003</v>
      </c>
      <c r="P43" s="155">
        <v>4.4349999999999996</v>
      </c>
      <c r="Q43" s="617"/>
      <c r="R43" s="612"/>
      <c r="S43" s="132"/>
      <c r="T43" s="132"/>
      <c r="U43" s="181"/>
      <c r="V43" s="181"/>
      <c r="W43" s="181"/>
      <c r="X43" s="181"/>
      <c r="Y43" s="181"/>
      <c r="Z43" s="181"/>
      <c r="AA43" s="181"/>
      <c r="AB43" s="181"/>
      <c r="AC43" s="181"/>
      <c r="AD43" s="181"/>
    </row>
    <row r="44" spans="2:30" ht="14.45" customHeight="1">
      <c r="B44" s="558"/>
      <c r="C44" s="3" t="s">
        <v>627</v>
      </c>
      <c r="D44" s="3" t="s">
        <v>628</v>
      </c>
      <c r="E44" s="53">
        <v>45744</v>
      </c>
      <c r="F44" s="53">
        <v>45744</v>
      </c>
      <c r="G44" s="46">
        <v>45749</v>
      </c>
      <c r="H44" s="46">
        <v>45749</v>
      </c>
      <c r="I44" s="45" t="s">
        <v>98</v>
      </c>
      <c r="J44" s="45"/>
      <c r="K44" s="45"/>
      <c r="L44" s="45">
        <v>2399</v>
      </c>
      <c r="M44" s="155">
        <v>1.39</v>
      </c>
      <c r="N44" s="155">
        <v>1.57</v>
      </c>
      <c r="O44" s="155">
        <v>1.39</v>
      </c>
      <c r="P44" s="155">
        <v>1.57</v>
      </c>
      <c r="Q44" s="617"/>
      <c r="R44" s="612"/>
      <c r="S44" s="132"/>
      <c r="T44" s="132"/>
      <c r="U44" s="181"/>
      <c r="V44" s="181"/>
      <c r="W44" s="181"/>
      <c r="X44" s="181"/>
      <c r="Y44" s="181"/>
      <c r="Z44" s="181"/>
      <c r="AA44" s="181"/>
      <c r="AB44" s="181"/>
      <c r="AC44" s="181"/>
      <c r="AD44" s="181"/>
    </row>
    <row r="45" spans="2:30" ht="14.45" customHeight="1">
      <c r="B45" s="559"/>
      <c r="C45" s="86" t="s">
        <v>629</v>
      </c>
      <c r="D45" s="86" t="s">
        <v>630</v>
      </c>
      <c r="E45" s="91">
        <v>45744</v>
      </c>
      <c r="F45" s="91">
        <v>45744</v>
      </c>
      <c r="G45" s="87">
        <v>45749</v>
      </c>
      <c r="H45" s="87">
        <v>45749</v>
      </c>
      <c r="I45" s="88" t="s">
        <v>98</v>
      </c>
      <c r="J45" s="88"/>
      <c r="K45" s="88"/>
      <c r="L45" s="88">
        <v>2399</v>
      </c>
      <c r="M45" s="162">
        <v>4.5990000000000002</v>
      </c>
      <c r="N45" s="162">
        <v>5.1079999999999997</v>
      </c>
      <c r="O45" s="162">
        <v>4.5990000000000002</v>
      </c>
      <c r="P45" s="162">
        <v>5.1079999999999997</v>
      </c>
      <c r="Q45" s="618"/>
      <c r="R45" s="612"/>
      <c r="S45" s="132"/>
      <c r="T45" s="132"/>
      <c r="U45" s="181"/>
      <c r="V45" s="181"/>
      <c r="W45" s="181"/>
      <c r="X45" s="181"/>
      <c r="Y45" s="181"/>
      <c r="Z45" s="181"/>
      <c r="AA45" s="181"/>
      <c r="AB45" s="181"/>
      <c r="AC45" s="181"/>
      <c r="AD45" s="181"/>
    </row>
    <row r="46" spans="2:30" ht="14.45" customHeight="1">
      <c r="B46" s="557" t="s">
        <v>461</v>
      </c>
      <c r="C46" s="83" t="s">
        <v>431</v>
      </c>
      <c r="D46" s="83"/>
      <c r="E46" s="90">
        <v>45744</v>
      </c>
      <c r="F46" s="90">
        <v>45744</v>
      </c>
      <c r="G46" s="90">
        <v>45754</v>
      </c>
      <c r="H46" s="90">
        <v>45754</v>
      </c>
      <c r="I46" s="85" t="s">
        <v>98</v>
      </c>
      <c r="J46" s="85"/>
      <c r="K46" s="85"/>
      <c r="L46" s="85"/>
      <c r="M46" s="85"/>
      <c r="N46" s="85"/>
      <c r="O46" s="125"/>
      <c r="P46" s="125"/>
      <c r="Q46" s="616" t="s">
        <v>631</v>
      </c>
      <c r="R46" s="612" t="s">
        <v>461</v>
      </c>
      <c r="S46" s="132"/>
      <c r="T46" s="132"/>
      <c r="U46" s="181"/>
      <c r="V46" s="181"/>
      <c r="W46" s="181"/>
      <c r="X46" s="181"/>
      <c r="Y46" s="181"/>
      <c r="Z46" s="181"/>
      <c r="AA46" s="181"/>
      <c r="AB46" s="181"/>
      <c r="AC46" s="181"/>
      <c r="AD46" s="181"/>
    </row>
    <row r="47" spans="2:30" ht="14.45" customHeight="1">
      <c r="B47" s="558"/>
      <c r="C47" s="3" t="s">
        <v>496</v>
      </c>
      <c r="D47" s="3"/>
      <c r="E47" s="53">
        <v>45744</v>
      </c>
      <c r="F47" s="53">
        <v>45744</v>
      </c>
      <c r="G47" s="53">
        <v>45754</v>
      </c>
      <c r="H47" s="53">
        <v>45754</v>
      </c>
      <c r="I47" s="45" t="s">
        <v>98</v>
      </c>
      <c r="J47" s="45"/>
      <c r="K47" s="45"/>
      <c r="L47" s="45"/>
      <c r="M47" s="45"/>
      <c r="N47" s="45"/>
      <c r="O47" s="126"/>
      <c r="P47" s="126"/>
      <c r="Q47" s="617"/>
      <c r="R47" s="612"/>
      <c r="S47" s="132"/>
      <c r="T47" s="132"/>
      <c r="U47" s="181"/>
      <c r="V47" s="181"/>
      <c r="W47" s="181"/>
      <c r="X47" s="181"/>
      <c r="Y47" s="181"/>
      <c r="Z47" s="181"/>
      <c r="AA47" s="181"/>
      <c r="AB47" s="181"/>
      <c r="AC47" s="181"/>
      <c r="AD47" s="181"/>
    </row>
    <row r="48" spans="2:30" ht="14.45" customHeight="1">
      <c r="B48" s="558"/>
      <c r="C48" s="3" t="s">
        <v>632</v>
      </c>
      <c r="D48" s="3" t="s">
        <v>600</v>
      </c>
      <c r="E48" s="53">
        <v>45744</v>
      </c>
      <c r="F48" s="53">
        <v>45744</v>
      </c>
      <c r="G48" s="53">
        <v>45754</v>
      </c>
      <c r="H48" s="53">
        <v>45754</v>
      </c>
      <c r="I48" s="45" t="s">
        <v>98</v>
      </c>
      <c r="J48" s="45"/>
      <c r="K48" s="45"/>
      <c r="L48" s="45">
        <v>2419</v>
      </c>
      <c r="M48" s="155">
        <v>0.217</v>
      </c>
      <c r="N48" s="155">
        <v>0.24299999999999999</v>
      </c>
      <c r="O48" s="155">
        <v>0.217</v>
      </c>
      <c r="P48" s="155">
        <v>0.24299999999999999</v>
      </c>
      <c r="Q48" s="617"/>
      <c r="R48" s="612"/>
      <c r="S48" s="132"/>
      <c r="T48" s="132"/>
      <c r="U48" s="181"/>
      <c r="V48" s="181"/>
      <c r="W48" s="181"/>
      <c r="X48" s="181"/>
      <c r="Y48" s="181"/>
      <c r="Z48" s="181"/>
      <c r="AA48" s="181"/>
      <c r="AB48" s="181"/>
      <c r="AC48" s="181"/>
      <c r="AD48" s="181"/>
    </row>
    <row r="49" spans="2:30" ht="14.45" customHeight="1">
      <c r="B49" s="558"/>
      <c r="C49" s="3" t="s">
        <v>633</v>
      </c>
      <c r="D49" s="3" t="s">
        <v>602</v>
      </c>
      <c r="E49" s="53">
        <v>45744</v>
      </c>
      <c r="F49" s="53">
        <v>45744</v>
      </c>
      <c r="G49" s="53">
        <v>45754</v>
      </c>
      <c r="H49" s="53">
        <v>45754</v>
      </c>
      <c r="I49" s="45" t="s">
        <v>98</v>
      </c>
      <c r="J49" s="45"/>
      <c r="K49" s="45"/>
      <c r="L49" s="45">
        <v>2419</v>
      </c>
      <c r="M49" s="96">
        <v>6.7249999999999996</v>
      </c>
      <c r="N49" s="96">
        <v>7.1840000000000002</v>
      </c>
      <c r="O49" s="156">
        <v>3.5870000000000002</v>
      </c>
      <c r="P49" s="156">
        <v>3.8410000000000002</v>
      </c>
      <c r="Q49" s="617"/>
      <c r="R49" s="612"/>
      <c r="S49" s="132"/>
      <c r="T49" s="132"/>
      <c r="U49" s="181"/>
      <c r="V49" s="181"/>
      <c r="W49" s="181"/>
      <c r="X49" s="181"/>
      <c r="Y49" s="181"/>
      <c r="Z49" s="181"/>
      <c r="AA49" s="181"/>
      <c r="AB49" s="181"/>
      <c r="AC49" s="181"/>
      <c r="AD49" s="181"/>
    </row>
    <row r="50" spans="2:30" ht="14.45" customHeight="1">
      <c r="B50" s="558"/>
      <c r="C50" s="3" t="s">
        <v>634</v>
      </c>
      <c r="D50" s="3" t="s">
        <v>635</v>
      </c>
      <c r="E50" s="53">
        <v>45744</v>
      </c>
      <c r="F50" s="53">
        <v>45744</v>
      </c>
      <c r="G50" s="53">
        <v>45754</v>
      </c>
      <c r="H50" s="53">
        <v>45754</v>
      </c>
      <c r="I50" s="45" t="s">
        <v>98</v>
      </c>
      <c r="J50" s="45"/>
      <c r="K50" s="45"/>
      <c r="L50" s="45">
        <v>2409</v>
      </c>
      <c r="M50" s="155">
        <v>1.806</v>
      </c>
      <c r="N50" s="155">
        <v>2.0230000000000001</v>
      </c>
      <c r="O50" s="155">
        <v>1.806</v>
      </c>
      <c r="P50" s="155">
        <v>2.0230000000000001</v>
      </c>
      <c r="Q50" s="617"/>
      <c r="R50" s="612"/>
      <c r="S50" s="132"/>
      <c r="T50" s="132"/>
      <c r="U50" s="181"/>
      <c r="V50" s="181"/>
      <c r="W50" s="181"/>
      <c r="X50" s="181"/>
      <c r="Y50" s="181"/>
      <c r="Z50" s="181"/>
      <c r="AA50" s="181"/>
      <c r="AB50" s="181"/>
      <c r="AC50" s="181"/>
      <c r="AD50" s="181"/>
    </row>
    <row r="51" spans="2:30" ht="14.45" customHeight="1">
      <c r="B51" s="558"/>
      <c r="C51" s="3" t="s">
        <v>636</v>
      </c>
      <c r="D51" s="3" t="s">
        <v>637</v>
      </c>
      <c r="E51" s="53">
        <v>45744</v>
      </c>
      <c r="F51" s="53">
        <v>45744</v>
      </c>
      <c r="G51" s="53">
        <v>45754</v>
      </c>
      <c r="H51" s="53">
        <v>45754</v>
      </c>
      <c r="I51" s="45" t="s">
        <v>98</v>
      </c>
      <c r="J51" s="45"/>
      <c r="K51" s="45"/>
      <c r="L51" s="45">
        <v>2401</v>
      </c>
      <c r="M51" s="155">
        <v>0.91900000000000004</v>
      </c>
      <c r="N51" s="155">
        <v>1.113</v>
      </c>
      <c r="O51" s="155">
        <v>0.91900000000000004</v>
      </c>
      <c r="P51" s="155">
        <v>1.113</v>
      </c>
      <c r="Q51" s="617"/>
      <c r="R51" s="612"/>
      <c r="S51" s="132"/>
      <c r="T51" s="132"/>
      <c r="U51" s="181"/>
      <c r="V51" s="181"/>
      <c r="W51" s="181"/>
      <c r="X51" s="181"/>
      <c r="Y51" s="181"/>
      <c r="Z51" s="181"/>
      <c r="AA51" s="181"/>
      <c r="AB51" s="181"/>
      <c r="AC51" s="181"/>
      <c r="AD51" s="181"/>
    </row>
    <row r="52" spans="2:30" ht="14.45" customHeight="1">
      <c r="B52" s="558"/>
      <c r="C52" s="3" t="s">
        <v>638</v>
      </c>
      <c r="D52" s="3" t="s">
        <v>639</v>
      </c>
      <c r="E52" s="53">
        <v>45744</v>
      </c>
      <c r="F52" s="53">
        <v>45744</v>
      </c>
      <c r="G52" s="53">
        <v>45754</v>
      </c>
      <c r="H52" s="53">
        <v>45754</v>
      </c>
      <c r="I52" s="45" t="s">
        <v>98</v>
      </c>
      <c r="J52" s="45"/>
      <c r="K52" s="45"/>
      <c r="L52" s="45">
        <v>2401</v>
      </c>
      <c r="M52" s="155">
        <v>0.39100000000000001</v>
      </c>
      <c r="N52" s="155">
        <v>0.439</v>
      </c>
      <c r="O52" s="155">
        <v>0.39100000000000001</v>
      </c>
      <c r="P52" s="155">
        <v>0.439</v>
      </c>
      <c r="Q52" s="617"/>
      <c r="R52" s="612"/>
      <c r="S52" s="132"/>
      <c r="T52" s="132"/>
      <c r="U52" s="181"/>
      <c r="V52" s="181"/>
      <c r="W52" s="181"/>
      <c r="X52" s="181"/>
      <c r="Y52" s="181"/>
      <c r="Z52" s="181"/>
      <c r="AA52" s="181"/>
      <c r="AB52" s="181"/>
      <c r="AC52" s="181"/>
      <c r="AD52" s="181"/>
    </row>
    <row r="53" spans="2:30" ht="14.45" customHeight="1">
      <c r="B53" s="559"/>
      <c r="C53" s="86" t="s">
        <v>640</v>
      </c>
      <c r="D53" s="86" t="s">
        <v>641</v>
      </c>
      <c r="E53" s="91">
        <v>45744</v>
      </c>
      <c r="F53" s="91">
        <v>45744</v>
      </c>
      <c r="G53" s="91">
        <v>45754</v>
      </c>
      <c r="H53" s="91">
        <v>45754</v>
      </c>
      <c r="I53" s="88" t="s">
        <v>98</v>
      </c>
      <c r="J53" s="88"/>
      <c r="K53" s="88"/>
      <c r="L53" s="88">
        <v>2401</v>
      </c>
      <c r="M53" s="162">
        <v>3.6680000000000001</v>
      </c>
      <c r="N53" s="162">
        <v>5.2169999999999996</v>
      </c>
      <c r="O53" s="162">
        <v>3.6680000000000001</v>
      </c>
      <c r="P53" s="162">
        <v>5.2169999999999996</v>
      </c>
      <c r="Q53" s="618"/>
      <c r="R53" s="612"/>
      <c r="S53" s="132"/>
      <c r="T53" s="132"/>
      <c r="U53" s="181"/>
      <c r="V53" s="181"/>
      <c r="W53" s="181"/>
      <c r="X53" s="181"/>
      <c r="Y53" s="181"/>
      <c r="Z53" s="181"/>
      <c r="AA53" s="181"/>
      <c r="AB53" s="181"/>
      <c r="AC53" s="181"/>
      <c r="AD53" s="181"/>
    </row>
    <row r="54" spans="2:30" ht="14.45" customHeight="1">
      <c r="B54" s="613" t="s">
        <v>642</v>
      </c>
      <c r="C54" s="83" t="s">
        <v>431</v>
      </c>
      <c r="D54" s="83"/>
      <c r="E54" s="84">
        <v>45744</v>
      </c>
      <c r="F54" s="84">
        <v>45744</v>
      </c>
      <c r="G54" s="84">
        <v>45744</v>
      </c>
      <c r="H54" s="84">
        <v>45744</v>
      </c>
      <c r="I54" s="85" t="s">
        <v>98</v>
      </c>
      <c r="J54" s="85"/>
      <c r="K54" s="85"/>
      <c r="L54" s="85"/>
      <c r="M54" s="85"/>
      <c r="N54" s="85"/>
      <c r="O54" s="125"/>
      <c r="P54" s="125"/>
      <c r="Q54" s="616" t="s">
        <v>625</v>
      </c>
      <c r="R54" s="612" t="s">
        <v>643</v>
      </c>
      <c r="S54" s="132"/>
      <c r="T54" s="132"/>
      <c r="U54" s="181"/>
      <c r="V54" s="181"/>
      <c r="W54" s="181"/>
      <c r="X54" s="181"/>
      <c r="Y54" s="181"/>
      <c r="Z54" s="181"/>
      <c r="AA54" s="181"/>
      <c r="AB54" s="181"/>
      <c r="AC54" s="181"/>
      <c r="AD54" s="181"/>
    </row>
    <row r="55" spans="2:30" ht="14.45" customHeight="1">
      <c r="B55" s="614"/>
      <c r="C55" s="3" t="s">
        <v>496</v>
      </c>
      <c r="D55" s="3"/>
      <c r="E55" s="46">
        <v>45744</v>
      </c>
      <c r="F55" s="46">
        <v>45744</v>
      </c>
      <c r="G55" s="46">
        <v>45744</v>
      </c>
      <c r="H55" s="46">
        <v>45744</v>
      </c>
      <c r="I55" s="45" t="s">
        <v>98</v>
      </c>
      <c r="J55" s="45"/>
      <c r="K55" s="45"/>
      <c r="L55" s="45"/>
      <c r="M55" s="45"/>
      <c r="N55" s="45"/>
      <c r="O55" s="126"/>
      <c r="P55" s="126"/>
      <c r="Q55" s="617"/>
      <c r="R55" s="612"/>
      <c r="S55" s="132"/>
      <c r="T55" s="132"/>
      <c r="U55" s="181"/>
      <c r="V55" s="181"/>
      <c r="W55" s="181"/>
      <c r="X55" s="181"/>
      <c r="Y55" s="181"/>
      <c r="Z55" s="181"/>
      <c r="AA55" s="181"/>
      <c r="AB55" s="181"/>
      <c r="AC55" s="181"/>
      <c r="AD55" s="181"/>
    </row>
    <row r="56" spans="2:30" ht="14.45" customHeight="1">
      <c r="B56" s="614"/>
      <c r="C56" s="3" t="s">
        <v>632</v>
      </c>
      <c r="D56" s="3" t="s">
        <v>600</v>
      </c>
      <c r="E56" s="46">
        <v>45744</v>
      </c>
      <c r="F56" s="46">
        <v>45744</v>
      </c>
      <c r="G56" s="46">
        <v>45744</v>
      </c>
      <c r="H56" s="46">
        <v>45744</v>
      </c>
      <c r="I56" s="45" t="s">
        <v>98</v>
      </c>
      <c r="J56" s="45"/>
      <c r="K56" s="45"/>
      <c r="L56" s="45">
        <v>2372</v>
      </c>
      <c r="M56" s="155">
        <v>0.185</v>
      </c>
      <c r="N56" s="155">
        <v>0.21299999999999999</v>
      </c>
      <c r="O56" s="155">
        <v>0.185</v>
      </c>
      <c r="P56" s="155">
        <v>0.21299999999999999</v>
      </c>
      <c r="Q56" s="617"/>
      <c r="R56" s="612"/>
      <c r="S56" s="132"/>
      <c r="T56" s="132"/>
      <c r="U56" s="181"/>
      <c r="V56" s="181"/>
      <c r="W56" s="181"/>
      <c r="X56" s="181"/>
      <c r="Y56" s="181"/>
      <c r="Z56" s="181"/>
      <c r="AA56" s="181"/>
      <c r="AB56" s="181"/>
      <c r="AC56" s="181"/>
      <c r="AD56" s="181"/>
    </row>
    <row r="57" spans="2:30" ht="14.45" customHeight="1">
      <c r="B57" s="614"/>
      <c r="C57" s="3" t="s">
        <v>633</v>
      </c>
      <c r="D57" s="3" t="s">
        <v>602</v>
      </c>
      <c r="E57" s="46">
        <v>45744</v>
      </c>
      <c r="F57" s="46">
        <v>45744</v>
      </c>
      <c r="G57" s="46">
        <v>45744</v>
      </c>
      <c r="H57" s="46">
        <v>45744</v>
      </c>
      <c r="I57" s="45" t="s">
        <v>98</v>
      </c>
      <c r="J57" s="45"/>
      <c r="K57" s="45"/>
      <c r="L57" s="45">
        <v>2368</v>
      </c>
      <c r="M57" s="98">
        <v>6.1539999999999999</v>
      </c>
      <c r="N57" s="98">
        <v>6.9359999999999999</v>
      </c>
      <c r="O57" s="156">
        <v>3.5870000000000002</v>
      </c>
      <c r="P57" s="156">
        <v>3.8410000000000002</v>
      </c>
      <c r="Q57" s="617"/>
      <c r="R57" s="612"/>
      <c r="S57" s="132"/>
      <c r="T57" s="132"/>
      <c r="U57" s="181"/>
      <c r="V57" s="181"/>
      <c r="W57" s="181"/>
      <c r="X57" s="181"/>
      <c r="Y57" s="181"/>
      <c r="Z57" s="181"/>
      <c r="AA57" s="181"/>
      <c r="AB57" s="181"/>
      <c r="AC57" s="181"/>
      <c r="AD57" s="181"/>
    </row>
    <row r="58" spans="2:30" ht="14.45" customHeight="1">
      <c r="B58" s="614"/>
      <c r="C58" s="3" t="s">
        <v>644</v>
      </c>
      <c r="D58" s="3" t="s">
        <v>645</v>
      </c>
      <c r="E58" s="46">
        <v>45744</v>
      </c>
      <c r="F58" s="46">
        <v>45744</v>
      </c>
      <c r="G58" s="46">
        <v>45744</v>
      </c>
      <c r="H58" s="46">
        <v>45744</v>
      </c>
      <c r="I58" s="45" t="s">
        <v>98</v>
      </c>
      <c r="J58" s="45"/>
      <c r="K58" s="45"/>
      <c r="L58" s="45">
        <v>2352</v>
      </c>
      <c r="M58" s="155">
        <v>2.8660000000000001</v>
      </c>
      <c r="N58" s="155">
        <v>3.8159999999999998</v>
      </c>
      <c r="O58" s="155">
        <v>2.8660000000000001</v>
      </c>
      <c r="P58" s="155">
        <v>3.8159999999999998</v>
      </c>
      <c r="Q58" s="617"/>
      <c r="R58" s="612"/>
      <c r="S58" s="132"/>
      <c r="T58" s="132"/>
      <c r="U58" s="181"/>
      <c r="V58" s="181"/>
      <c r="W58" s="181"/>
      <c r="X58" s="181"/>
      <c r="Y58" s="181"/>
      <c r="Z58" s="181"/>
      <c r="AA58" s="181"/>
      <c r="AB58" s="181"/>
      <c r="AC58" s="181"/>
      <c r="AD58" s="181"/>
    </row>
    <row r="59" spans="2:30" ht="14.45" customHeight="1">
      <c r="B59" s="614"/>
      <c r="C59" s="3" t="s">
        <v>646</v>
      </c>
      <c r="D59" s="3" t="s">
        <v>647</v>
      </c>
      <c r="E59" s="46">
        <v>45744</v>
      </c>
      <c r="F59" s="46">
        <v>45744</v>
      </c>
      <c r="G59" s="46">
        <v>45744</v>
      </c>
      <c r="H59" s="46">
        <v>45744</v>
      </c>
      <c r="I59" s="45" t="s">
        <v>98</v>
      </c>
      <c r="J59" s="45"/>
      <c r="K59" s="45"/>
      <c r="L59" s="45">
        <v>2337</v>
      </c>
      <c r="M59" s="155">
        <v>1.68</v>
      </c>
      <c r="N59" s="155">
        <v>1.9670000000000001</v>
      </c>
      <c r="O59" s="155">
        <v>1.68</v>
      </c>
      <c r="P59" s="155">
        <v>1.9670000000000001</v>
      </c>
      <c r="Q59" s="617"/>
      <c r="R59" s="612"/>
      <c r="S59" s="132"/>
      <c r="T59" s="132"/>
      <c r="U59" s="181"/>
      <c r="V59" s="181"/>
      <c r="W59" s="181"/>
      <c r="X59" s="181"/>
      <c r="Y59" s="181"/>
      <c r="Z59" s="181"/>
      <c r="AA59" s="181"/>
      <c r="AB59" s="181"/>
      <c r="AC59" s="181"/>
      <c r="AD59" s="181"/>
    </row>
    <row r="60" spans="2:30" ht="14.45" customHeight="1">
      <c r="B60" s="614"/>
      <c r="C60" s="3" t="s">
        <v>648</v>
      </c>
      <c r="D60" s="3" t="s">
        <v>649</v>
      </c>
      <c r="E60" s="46">
        <v>45744</v>
      </c>
      <c r="F60" s="46">
        <v>45744</v>
      </c>
      <c r="G60" s="46">
        <v>45744</v>
      </c>
      <c r="H60" s="46">
        <v>45744</v>
      </c>
      <c r="I60" s="45" t="s">
        <v>98</v>
      </c>
      <c r="J60" s="45"/>
      <c r="K60" s="45"/>
      <c r="L60" s="45">
        <v>2332</v>
      </c>
      <c r="M60" s="155">
        <v>1.206</v>
      </c>
      <c r="N60" s="155">
        <v>1.385</v>
      </c>
      <c r="O60" s="155">
        <v>1.206</v>
      </c>
      <c r="P60" s="155">
        <v>1.385</v>
      </c>
      <c r="Q60" s="617"/>
      <c r="R60" s="612"/>
      <c r="S60" s="132"/>
      <c r="T60" s="132"/>
      <c r="U60" s="181"/>
      <c r="V60" s="181"/>
      <c r="W60" s="181"/>
      <c r="X60" s="181"/>
      <c r="Y60" s="181"/>
      <c r="Z60" s="181"/>
      <c r="AA60" s="181"/>
      <c r="AB60" s="181"/>
      <c r="AC60" s="181"/>
      <c r="AD60" s="181"/>
    </row>
    <row r="61" spans="2:30" ht="14.45" customHeight="1">
      <c r="B61" s="615"/>
      <c r="C61" s="86" t="s">
        <v>650</v>
      </c>
      <c r="D61" s="86" t="s">
        <v>651</v>
      </c>
      <c r="E61" s="87">
        <v>45744</v>
      </c>
      <c r="F61" s="87">
        <v>45744</v>
      </c>
      <c r="G61" s="87">
        <v>45744</v>
      </c>
      <c r="H61" s="87">
        <v>45744</v>
      </c>
      <c r="I61" s="88" t="s">
        <v>98</v>
      </c>
      <c r="J61" s="88"/>
      <c r="K61" s="88"/>
      <c r="L61" s="88">
        <v>2328</v>
      </c>
      <c r="M61" s="162">
        <v>1.8260000000000001</v>
      </c>
      <c r="N61" s="162">
        <v>2.149</v>
      </c>
      <c r="O61" s="162">
        <v>1.8260000000000001</v>
      </c>
      <c r="P61" s="162">
        <v>2.149</v>
      </c>
      <c r="Q61" s="618"/>
      <c r="R61" s="612"/>
      <c r="S61" s="132"/>
      <c r="T61" s="132"/>
      <c r="U61" s="181"/>
      <c r="V61" s="181"/>
      <c r="W61" s="181"/>
      <c r="X61" s="181"/>
      <c r="Y61" s="181"/>
      <c r="Z61" s="181"/>
      <c r="AA61" s="181"/>
      <c r="AB61" s="181"/>
      <c r="AC61" s="181"/>
      <c r="AD61" s="181"/>
    </row>
    <row r="62" spans="2:30" ht="14.45" customHeight="1">
      <c r="B62" s="613" t="s">
        <v>652</v>
      </c>
      <c r="C62" s="83" t="s">
        <v>431</v>
      </c>
      <c r="D62" s="83"/>
      <c r="E62" s="84">
        <v>45744</v>
      </c>
      <c r="F62" s="84">
        <v>45744</v>
      </c>
      <c r="G62" s="84">
        <v>45753</v>
      </c>
      <c r="H62" s="84">
        <v>45753</v>
      </c>
      <c r="I62" s="85" t="s">
        <v>98</v>
      </c>
      <c r="J62" s="85"/>
      <c r="K62" s="85"/>
      <c r="L62" s="85"/>
      <c r="M62" s="85"/>
      <c r="N62" s="85"/>
      <c r="O62" s="125"/>
      <c r="P62" s="125"/>
      <c r="Q62" s="627" t="s">
        <v>653</v>
      </c>
      <c r="R62" s="612" t="s">
        <v>654</v>
      </c>
      <c r="S62" s="132"/>
      <c r="T62" s="132"/>
      <c r="U62" s="181"/>
      <c r="V62" s="181"/>
      <c r="W62" s="181"/>
      <c r="X62" s="181"/>
      <c r="Y62" s="181"/>
      <c r="Z62" s="181"/>
      <c r="AA62" s="181"/>
      <c r="AB62" s="181"/>
      <c r="AC62" s="181"/>
      <c r="AD62" s="181"/>
    </row>
    <row r="63" spans="2:30" ht="14.45" customHeight="1">
      <c r="B63" s="614"/>
      <c r="C63" s="3" t="s">
        <v>496</v>
      </c>
      <c r="D63" s="3"/>
      <c r="E63" s="46">
        <v>45744</v>
      </c>
      <c r="F63" s="46">
        <v>45744</v>
      </c>
      <c r="G63" s="46">
        <v>45753</v>
      </c>
      <c r="H63" s="46">
        <v>45753</v>
      </c>
      <c r="I63" s="45" t="s">
        <v>98</v>
      </c>
      <c r="J63" s="45"/>
      <c r="K63" s="45"/>
      <c r="L63" s="45"/>
      <c r="M63" s="45"/>
      <c r="N63" s="45"/>
      <c r="O63" s="126"/>
      <c r="P63" s="126"/>
      <c r="Q63" s="628"/>
      <c r="R63" s="612"/>
      <c r="S63" s="132"/>
      <c r="T63" s="132"/>
      <c r="U63" s="181"/>
      <c r="V63" s="181"/>
      <c r="W63" s="181"/>
      <c r="X63" s="181"/>
      <c r="Y63" s="181"/>
      <c r="Z63" s="181"/>
      <c r="AA63" s="181"/>
      <c r="AB63" s="181"/>
      <c r="AC63" s="181"/>
      <c r="AD63" s="181"/>
    </row>
    <row r="64" spans="2:30" ht="14.45" customHeight="1">
      <c r="B64" s="614"/>
      <c r="C64" s="3" t="s">
        <v>632</v>
      </c>
      <c r="D64" s="3" t="s">
        <v>600</v>
      </c>
      <c r="E64" s="46">
        <v>45744</v>
      </c>
      <c r="F64" s="46">
        <v>45744</v>
      </c>
      <c r="G64" s="46">
        <v>45753</v>
      </c>
      <c r="H64" s="46">
        <v>45753</v>
      </c>
      <c r="I64" s="45" t="s">
        <v>98</v>
      </c>
      <c r="J64" s="45"/>
      <c r="K64" s="45"/>
      <c r="L64" s="45">
        <v>2400</v>
      </c>
      <c r="M64" s="155">
        <v>0.20100000000000001</v>
      </c>
      <c r="N64" s="155">
        <v>0.23100000000000001</v>
      </c>
      <c r="O64" s="155">
        <v>0.20100000000000001</v>
      </c>
      <c r="P64" s="155">
        <v>0.23100000000000001</v>
      </c>
      <c r="Q64" s="628"/>
      <c r="R64" s="612"/>
      <c r="S64" s="132"/>
      <c r="T64" s="132"/>
      <c r="U64" s="181"/>
      <c r="V64" s="181"/>
      <c r="W64" s="181"/>
      <c r="X64" s="181"/>
      <c r="Y64" s="181"/>
      <c r="Z64" s="181"/>
      <c r="AA64" s="181"/>
      <c r="AB64" s="181"/>
      <c r="AC64" s="181"/>
      <c r="AD64" s="181"/>
    </row>
    <row r="65" spans="2:30" ht="14.45" customHeight="1">
      <c r="B65" s="614"/>
      <c r="C65" s="3" t="s">
        <v>633</v>
      </c>
      <c r="D65" s="3" t="s">
        <v>602</v>
      </c>
      <c r="E65" s="46">
        <v>45744</v>
      </c>
      <c r="F65" s="46">
        <v>45744</v>
      </c>
      <c r="G65" s="46">
        <v>45753</v>
      </c>
      <c r="H65" s="46">
        <v>45753</v>
      </c>
      <c r="I65" s="45" t="s">
        <v>98</v>
      </c>
      <c r="J65" s="45"/>
      <c r="K65" s="45"/>
      <c r="L65" s="45">
        <v>2400</v>
      </c>
      <c r="M65" s="96">
        <v>6.1440000000000001</v>
      </c>
      <c r="N65" s="96">
        <v>6.6189999999999998</v>
      </c>
      <c r="O65" s="156">
        <v>3.5870000000000002</v>
      </c>
      <c r="P65" s="156">
        <v>3.8410000000000002</v>
      </c>
      <c r="Q65" s="628"/>
      <c r="R65" s="612"/>
      <c r="S65" s="132"/>
      <c r="T65" s="132"/>
      <c r="U65" s="181"/>
      <c r="V65" s="181"/>
      <c r="W65" s="181"/>
      <c r="X65" s="181"/>
      <c r="Y65" s="181"/>
      <c r="Z65" s="181"/>
      <c r="AA65" s="181"/>
      <c r="AB65" s="181"/>
      <c r="AC65" s="181"/>
      <c r="AD65" s="181"/>
    </row>
    <row r="66" spans="2:30" ht="14.45" customHeight="1">
      <c r="B66" s="614"/>
      <c r="C66" s="3" t="s">
        <v>655</v>
      </c>
      <c r="D66" s="3" t="s">
        <v>656</v>
      </c>
      <c r="E66" s="46">
        <v>45744</v>
      </c>
      <c r="F66" s="46">
        <v>45744</v>
      </c>
      <c r="G66" s="46">
        <v>45753</v>
      </c>
      <c r="H66" s="46">
        <v>45753</v>
      </c>
      <c r="I66" s="45" t="s">
        <v>98</v>
      </c>
      <c r="J66" s="45"/>
      <c r="K66" s="45"/>
      <c r="L66" s="45">
        <v>2400</v>
      </c>
      <c r="M66" s="155">
        <v>3.0139999999999998</v>
      </c>
      <c r="N66" s="155">
        <v>3.2690000000000001</v>
      </c>
      <c r="O66" s="155">
        <v>3.0139999999999998</v>
      </c>
      <c r="P66" s="155">
        <v>3.2690000000000001</v>
      </c>
      <c r="Q66" s="628"/>
      <c r="R66" s="612"/>
    </row>
    <row r="67" spans="2:30" ht="14.45" customHeight="1">
      <c r="B67" s="614"/>
      <c r="C67" s="3" t="s">
        <v>657</v>
      </c>
      <c r="D67" s="3" t="s">
        <v>658</v>
      </c>
      <c r="E67" s="46">
        <v>45744</v>
      </c>
      <c r="F67" s="46">
        <v>45744</v>
      </c>
      <c r="G67" s="46">
        <v>45753</v>
      </c>
      <c r="H67" s="46">
        <v>45753</v>
      </c>
      <c r="I67" s="45" t="s">
        <v>98</v>
      </c>
      <c r="J67" s="45"/>
      <c r="K67" s="45"/>
      <c r="L67" s="45">
        <v>2400</v>
      </c>
      <c r="M67" s="155">
        <v>1.6080000000000001</v>
      </c>
      <c r="N67" s="155">
        <v>2.3860000000000001</v>
      </c>
      <c r="O67" s="155">
        <v>1.6080000000000001</v>
      </c>
      <c r="P67" s="155">
        <v>2.3860000000000001</v>
      </c>
      <c r="Q67" s="628"/>
      <c r="R67" s="612"/>
    </row>
    <row r="68" spans="2:30" ht="14.45" customHeight="1">
      <c r="B68" s="614"/>
      <c r="C68" s="3" t="s">
        <v>659</v>
      </c>
      <c r="D68" s="3" t="s">
        <v>660</v>
      </c>
      <c r="E68" s="46">
        <v>45744</v>
      </c>
      <c r="F68" s="46">
        <v>45744</v>
      </c>
      <c r="G68" s="46">
        <v>45753</v>
      </c>
      <c r="H68" s="46">
        <v>45753</v>
      </c>
      <c r="I68" s="45" t="s">
        <v>98</v>
      </c>
      <c r="J68" s="45"/>
      <c r="K68" s="45"/>
      <c r="L68" s="45">
        <v>2400</v>
      </c>
      <c r="M68" s="155">
        <v>3.7519999999999998</v>
      </c>
      <c r="N68" s="155">
        <v>4.2910000000000004</v>
      </c>
      <c r="O68" s="155">
        <v>3.7519999999999998</v>
      </c>
      <c r="P68" s="155">
        <v>4.2910000000000004</v>
      </c>
      <c r="Q68" s="628"/>
      <c r="R68" s="612"/>
    </row>
    <row r="69" spans="2:30" ht="14.45" customHeight="1">
      <c r="B69" s="615"/>
      <c r="C69" s="86" t="s">
        <v>661</v>
      </c>
      <c r="D69" s="86" t="s">
        <v>662</v>
      </c>
      <c r="E69" s="87">
        <v>45744</v>
      </c>
      <c r="F69" s="87">
        <v>45744</v>
      </c>
      <c r="G69" s="87">
        <v>45753</v>
      </c>
      <c r="H69" s="87">
        <v>45753</v>
      </c>
      <c r="I69" s="88" t="s">
        <v>98</v>
      </c>
      <c r="J69" s="88"/>
      <c r="K69" s="88"/>
      <c r="L69" s="88">
        <v>2400</v>
      </c>
      <c r="M69" s="162">
        <v>1.3120000000000001</v>
      </c>
      <c r="N69" s="162">
        <v>1.5880000000000001</v>
      </c>
      <c r="O69" s="162">
        <v>1.3120000000000001</v>
      </c>
      <c r="P69" s="162">
        <v>1.5880000000000001</v>
      </c>
      <c r="Q69" s="629"/>
      <c r="R69" s="612"/>
    </row>
    <row r="70" spans="2:30" ht="14.45" customHeight="1">
      <c r="B70" s="613" t="s">
        <v>663</v>
      </c>
      <c r="C70" s="83" t="s">
        <v>431</v>
      </c>
      <c r="D70" s="83"/>
      <c r="E70" s="84">
        <v>45744</v>
      </c>
      <c r="F70" s="84">
        <v>45744</v>
      </c>
      <c r="G70" s="84">
        <v>45753</v>
      </c>
      <c r="H70" s="84">
        <v>45753</v>
      </c>
      <c r="I70" s="85" t="s">
        <v>98</v>
      </c>
      <c r="J70" s="85"/>
      <c r="K70" s="85"/>
      <c r="L70" s="85"/>
      <c r="M70" s="85"/>
      <c r="N70" s="85"/>
      <c r="O70" s="128"/>
      <c r="P70" s="128"/>
      <c r="Q70" s="624" t="s">
        <v>664</v>
      </c>
      <c r="R70" s="612" t="s">
        <v>665</v>
      </c>
    </row>
    <row r="71" spans="2:30" ht="14.45" customHeight="1">
      <c r="B71" s="614"/>
      <c r="C71" s="3" t="s">
        <v>496</v>
      </c>
      <c r="D71" s="3"/>
      <c r="E71" s="46">
        <v>45744</v>
      </c>
      <c r="F71" s="46">
        <v>45744</v>
      </c>
      <c r="G71" s="46">
        <v>45753</v>
      </c>
      <c r="H71" s="46">
        <v>45753</v>
      </c>
      <c r="I71" s="45" t="s">
        <v>98</v>
      </c>
      <c r="J71" s="45"/>
      <c r="K71" s="45"/>
      <c r="L71" s="45"/>
      <c r="M71" s="45"/>
      <c r="N71" s="45"/>
      <c r="O71" s="89"/>
      <c r="P71" s="89"/>
      <c r="Q71" s="625"/>
      <c r="R71" s="612"/>
    </row>
    <row r="72" spans="2:30" ht="14.45" customHeight="1">
      <c r="B72" s="614"/>
      <c r="C72" s="3" t="s">
        <v>632</v>
      </c>
      <c r="D72" s="3" t="s">
        <v>600</v>
      </c>
      <c r="E72" s="46">
        <v>45744</v>
      </c>
      <c r="F72" s="46">
        <v>45744</v>
      </c>
      <c r="G72" s="46">
        <v>45753</v>
      </c>
      <c r="H72" s="46">
        <v>45753</v>
      </c>
      <c r="I72" s="45" t="s">
        <v>98</v>
      </c>
      <c r="J72" s="45"/>
      <c r="K72" s="45"/>
      <c r="L72" s="45">
        <v>2403</v>
      </c>
      <c r="M72" s="155">
        <v>0.193</v>
      </c>
      <c r="N72" s="155">
        <v>0.22600000000000001</v>
      </c>
      <c r="O72" s="155">
        <v>0.193</v>
      </c>
      <c r="P72" s="155">
        <v>0.22600000000000001</v>
      </c>
      <c r="Q72" s="625"/>
      <c r="R72" s="612"/>
    </row>
    <row r="73" spans="2:30" ht="14.45" customHeight="1">
      <c r="B73" s="614"/>
      <c r="C73" s="3" t="s">
        <v>633</v>
      </c>
      <c r="D73" s="3" t="s">
        <v>602</v>
      </c>
      <c r="E73" s="46">
        <v>45744</v>
      </c>
      <c r="F73" s="46">
        <v>45744</v>
      </c>
      <c r="G73" s="46">
        <v>45753</v>
      </c>
      <c r="H73" s="46">
        <v>45753</v>
      </c>
      <c r="I73" s="121" t="s">
        <v>98</v>
      </c>
      <c r="J73" s="121"/>
      <c r="K73" s="45"/>
      <c r="L73" s="45">
        <v>2403</v>
      </c>
      <c r="M73" s="96">
        <v>6.1029999999999998</v>
      </c>
      <c r="N73" s="96">
        <v>6.6379999999999999</v>
      </c>
      <c r="O73" s="156">
        <v>3.5870000000000002</v>
      </c>
      <c r="P73" s="156">
        <v>3.8410000000000002</v>
      </c>
      <c r="Q73" s="625"/>
      <c r="R73" s="612"/>
    </row>
    <row r="74" spans="2:30" ht="14.45" customHeight="1">
      <c r="B74" s="614"/>
      <c r="C74" s="3" t="s">
        <v>666</v>
      </c>
      <c r="D74" s="3" t="s">
        <v>667</v>
      </c>
      <c r="E74" s="46">
        <v>45744</v>
      </c>
      <c r="F74" s="46">
        <v>45744</v>
      </c>
      <c r="G74" s="46">
        <v>45753</v>
      </c>
      <c r="H74" s="46">
        <v>45753</v>
      </c>
      <c r="I74" s="45" t="s">
        <v>98</v>
      </c>
      <c r="J74" s="45"/>
      <c r="K74" s="45"/>
      <c r="L74" s="45">
        <v>2403</v>
      </c>
      <c r="M74" s="155">
        <v>3.4409999999999998</v>
      </c>
      <c r="N74" s="155">
        <v>3.74</v>
      </c>
      <c r="O74" s="155">
        <v>3.4409999999999998</v>
      </c>
      <c r="P74" s="155">
        <v>3.74</v>
      </c>
      <c r="Q74" s="625"/>
      <c r="R74" s="612"/>
    </row>
    <row r="75" spans="2:30" ht="14.45" customHeight="1">
      <c r="B75" s="614"/>
      <c r="C75" s="3" t="s">
        <v>668</v>
      </c>
      <c r="D75" s="3" t="s">
        <v>669</v>
      </c>
      <c r="E75" s="46">
        <v>45744</v>
      </c>
      <c r="F75" s="46">
        <v>45744</v>
      </c>
      <c r="G75" s="46">
        <v>45753</v>
      </c>
      <c r="H75" s="46">
        <v>45753</v>
      </c>
      <c r="I75" s="45" t="s">
        <v>98</v>
      </c>
      <c r="J75" s="45"/>
      <c r="K75" s="45"/>
      <c r="L75" s="45">
        <v>2401</v>
      </c>
      <c r="M75" s="155">
        <v>0.44600000000000001</v>
      </c>
      <c r="N75" s="155">
        <v>0.51200000000000001</v>
      </c>
      <c r="O75" s="155">
        <v>0.44600000000000001</v>
      </c>
      <c r="P75" s="155">
        <v>0.51200000000000001</v>
      </c>
      <c r="Q75" s="625"/>
      <c r="R75" s="612"/>
    </row>
    <row r="76" spans="2:30">
      <c r="B76" s="614"/>
      <c r="C76" s="3" t="s">
        <v>670</v>
      </c>
      <c r="D76" s="3" t="s">
        <v>671</v>
      </c>
      <c r="E76" s="46">
        <v>45744</v>
      </c>
      <c r="F76" s="46">
        <v>45744</v>
      </c>
      <c r="G76" s="46">
        <v>45753</v>
      </c>
      <c r="H76" s="46">
        <v>45753</v>
      </c>
      <c r="I76" s="45" t="s">
        <v>98</v>
      </c>
      <c r="J76" s="45"/>
      <c r="K76" s="45"/>
      <c r="L76" s="45">
        <v>2400</v>
      </c>
      <c r="M76" s="155">
        <v>3.4580000000000002</v>
      </c>
      <c r="N76" s="155">
        <v>3.734</v>
      </c>
      <c r="O76" s="155">
        <v>3.4580000000000002</v>
      </c>
      <c r="P76" s="155">
        <v>3.734</v>
      </c>
      <c r="Q76" s="625"/>
      <c r="R76" s="612"/>
    </row>
    <row r="77" spans="2:30">
      <c r="B77" s="614"/>
      <c r="C77" s="3" t="s">
        <v>672</v>
      </c>
      <c r="D77" s="3" t="s">
        <v>673</v>
      </c>
      <c r="E77" s="46">
        <v>45744</v>
      </c>
      <c r="F77" s="46">
        <v>45744</v>
      </c>
      <c r="G77" s="46">
        <v>45753</v>
      </c>
      <c r="H77" s="46">
        <v>45753</v>
      </c>
      <c r="I77" s="45" t="s">
        <v>98</v>
      </c>
      <c r="J77" s="45"/>
      <c r="K77" s="3"/>
      <c r="L77" s="114">
        <v>2393</v>
      </c>
      <c r="M77" s="163">
        <v>1.597</v>
      </c>
      <c r="N77" s="163">
        <v>1.802</v>
      </c>
      <c r="O77" s="163">
        <v>1.597</v>
      </c>
      <c r="P77" s="163">
        <v>1.802</v>
      </c>
      <c r="Q77" s="625"/>
      <c r="R77" s="612"/>
    </row>
    <row r="78" spans="2:30">
      <c r="B78" s="614"/>
      <c r="C78" s="3" t="s">
        <v>674</v>
      </c>
      <c r="D78" s="3" t="s">
        <v>675</v>
      </c>
      <c r="E78" s="46">
        <v>45744</v>
      </c>
      <c r="F78" s="46">
        <v>45744</v>
      </c>
      <c r="G78" s="46">
        <v>45753</v>
      </c>
      <c r="H78" s="46">
        <v>45753</v>
      </c>
      <c r="I78" s="45" t="s">
        <v>98</v>
      </c>
      <c r="J78" s="45"/>
      <c r="K78" s="3"/>
      <c r="L78" s="114">
        <v>2389</v>
      </c>
      <c r="M78" s="163">
        <v>2.6059999999999999</v>
      </c>
      <c r="N78" s="163">
        <v>2.806</v>
      </c>
      <c r="O78" s="163">
        <v>2.6059999999999999</v>
      </c>
      <c r="P78" s="163">
        <v>2.806</v>
      </c>
      <c r="Q78" s="625"/>
      <c r="R78" s="612"/>
    </row>
    <row r="79" spans="2:30">
      <c r="B79" s="615"/>
      <c r="C79" s="86" t="s">
        <v>676</v>
      </c>
      <c r="D79" s="86" t="s">
        <v>677</v>
      </c>
      <c r="E79" s="87">
        <v>45744</v>
      </c>
      <c r="F79" s="87">
        <v>45744</v>
      </c>
      <c r="G79" s="87">
        <v>45753</v>
      </c>
      <c r="H79" s="87">
        <v>45753</v>
      </c>
      <c r="I79" s="88" t="s">
        <v>98</v>
      </c>
      <c r="J79" s="88"/>
      <c r="K79" s="86"/>
      <c r="L79" s="115">
        <v>2387</v>
      </c>
      <c r="M79" s="164">
        <v>1.5740000000000001</v>
      </c>
      <c r="N79" s="164">
        <v>1.7749999999999999</v>
      </c>
      <c r="O79" s="164">
        <v>1.5740000000000001</v>
      </c>
      <c r="P79" s="164">
        <v>1.7749999999999999</v>
      </c>
      <c r="Q79" s="626"/>
      <c r="R79" s="612"/>
    </row>
    <row r="80" spans="2:30">
      <c r="Q80" s="119"/>
    </row>
    <row r="81" spans="1:18">
      <c r="B81" s="623" t="s">
        <v>678</v>
      </c>
      <c r="C81" s="3" t="s">
        <v>679</v>
      </c>
      <c r="D81" s="3" t="s">
        <v>679</v>
      </c>
      <c r="E81" s="330">
        <v>45760</v>
      </c>
      <c r="F81" s="330">
        <v>45760</v>
      </c>
      <c r="G81" s="330">
        <v>45760</v>
      </c>
      <c r="H81" s="330">
        <v>45760</v>
      </c>
      <c r="I81" s="45" t="s">
        <v>98</v>
      </c>
      <c r="J81" s="45"/>
      <c r="K81" s="3"/>
      <c r="L81" s="114">
        <v>2426</v>
      </c>
      <c r="M81" s="114">
        <v>0.223</v>
      </c>
      <c r="N81" s="114">
        <v>0.24399999999999999</v>
      </c>
      <c r="O81" s="114"/>
      <c r="P81" s="114"/>
      <c r="R81" s="622" t="s">
        <v>680</v>
      </c>
    </row>
    <row r="82" spans="1:18">
      <c r="B82" s="623"/>
      <c r="C82" s="3" t="s">
        <v>474</v>
      </c>
      <c r="D82" s="3" t="s">
        <v>474</v>
      </c>
      <c r="E82" s="330">
        <v>45760</v>
      </c>
      <c r="F82" s="330">
        <v>45760</v>
      </c>
      <c r="G82" s="330">
        <v>45760</v>
      </c>
      <c r="H82" s="330">
        <v>45760</v>
      </c>
      <c r="I82" s="45" t="s">
        <v>98</v>
      </c>
      <c r="J82" s="45"/>
      <c r="K82" s="3"/>
      <c r="L82" s="114">
        <v>2426</v>
      </c>
      <c r="M82" s="114">
        <v>3.5870000000000002</v>
      </c>
      <c r="N82" s="114">
        <v>3.8410000000000002</v>
      </c>
      <c r="O82" s="114"/>
      <c r="P82" s="114"/>
      <c r="R82" s="622"/>
    </row>
    <row r="84" spans="1:18">
      <c r="B84" s="623" t="s">
        <v>681</v>
      </c>
      <c r="C84" s="3" t="s">
        <v>679</v>
      </c>
      <c r="D84" s="3" t="s">
        <v>679</v>
      </c>
      <c r="E84" s="330">
        <v>45893</v>
      </c>
      <c r="F84" s="330">
        <v>45893</v>
      </c>
      <c r="G84" s="330">
        <v>45901</v>
      </c>
      <c r="H84" s="330">
        <v>45901</v>
      </c>
      <c r="I84" s="3" t="s">
        <v>682</v>
      </c>
      <c r="J84" s="3"/>
      <c r="K84" s="3"/>
      <c r="L84" s="3">
        <v>2500</v>
      </c>
      <c r="M84" s="3">
        <v>0.16300000000000001</v>
      </c>
      <c r="N84" s="3">
        <v>0.22800000000000001</v>
      </c>
      <c r="O84" s="157">
        <v>0.153</v>
      </c>
      <c r="P84" s="157">
        <v>0.221</v>
      </c>
    </row>
    <row r="85" spans="1:18">
      <c r="B85" s="623"/>
      <c r="C85" s="3" t="s">
        <v>474</v>
      </c>
      <c r="D85" s="3" t="s">
        <v>474</v>
      </c>
      <c r="E85" s="330">
        <v>45893</v>
      </c>
      <c r="F85" s="330">
        <v>45893</v>
      </c>
      <c r="G85" s="330">
        <v>45901</v>
      </c>
      <c r="H85" s="330">
        <v>45901</v>
      </c>
      <c r="I85" s="3" t="s">
        <v>683</v>
      </c>
      <c r="J85" s="3"/>
      <c r="K85" s="3"/>
      <c r="L85" s="3">
        <v>2500</v>
      </c>
      <c r="M85" s="3">
        <v>3.72</v>
      </c>
      <c r="N85" s="3">
        <v>6.76</v>
      </c>
      <c r="O85" s="157">
        <v>3.363</v>
      </c>
      <c r="P85" s="157">
        <v>5.8150000000000004</v>
      </c>
    </row>
    <row r="86" spans="1:18">
      <c r="B86" s="623"/>
      <c r="C86" s="3" t="s">
        <v>684</v>
      </c>
      <c r="D86" s="3" t="s">
        <v>684</v>
      </c>
      <c r="E86" s="330">
        <v>45893</v>
      </c>
      <c r="F86" s="330">
        <v>45893</v>
      </c>
      <c r="G86" s="330">
        <v>45901</v>
      </c>
      <c r="H86" s="330">
        <v>45901</v>
      </c>
      <c r="I86" s="3" t="s">
        <v>683</v>
      </c>
      <c r="J86" s="3" t="s">
        <v>685</v>
      </c>
      <c r="K86" s="3"/>
      <c r="L86" s="3">
        <v>2500</v>
      </c>
      <c r="M86" s="3">
        <v>33.533999999999999</v>
      </c>
      <c r="N86" s="3">
        <v>33.533999999999999</v>
      </c>
      <c r="O86" s="157">
        <v>2.472</v>
      </c>
      <c r="P86" s="157">
        <v>4.2039999999999997</v>
      </c>
    </row>
    <row r="87" spans="1:18">
      <c r="B87" s="623"/>
      <c r="C87" s="3" t="s">
        <v>686</v>
      </c>
      <c r="D87" s="3" t="s">
        <v>686</v>
      </c>
      <c r="E87" s="330">
        <v>45893</v>
      </c>
      <c r="F87" s="330">
        <v>45893</v>
      </c>
      <c r="G87" s="330">
        <v>45901</v>
      </c>
      <c r="H87" s="330">
        <v>45901</v>
      </c>
      <c r="I87" s="3" t="s">
        <v>683</v>
      </c>
      <c r="J87" s="3"/>
      <c r="K87" s="3"/>
      <c r="L87" s="3">
        <v>2490</v>
      </c>
      <c r="M87" s="3"/>
      <c r="N87" s="3"/>
      <c r="O87" s="157">
        <v>2.3969999999999998</v>
      </c>
      <c r="P87" s="157">
        <v>2.7759999999999998</v>
      </c>
    </row>
    <row r="88" spans="1:18">
      <c r="B88" s="623"/>
      <c r="C88" s="3" t="s">
        <v>687</v>
      </c>
      <c r="D88" s="3" t="s">
        <v>687</v>
      </c>
      <c r="E88" s="330">
        <v>45893</v>
      </c>
      <c r="F88" s="330">
        <v>45893</v>
      </c>
      <c r="G88" s="330">
        <v>45901</v>
      </c>
      <c r="H88" s="330">
        <v>45901</v>
      </c>
      <c r="I88" s="3" t="s">
        <v>683</v>
      </c>
      <c r="J88" s="3"/>
      <c r="K88" s="3"/>
      <c r="L88" s="3">
        <v>2490</v>
      </c>
      <c r="M88" s="3"/>
      <c r="N88" s="3"/>
      <c r="O88" s="157">
        <v>3.8969999999999998</v>
      </c>
      <c r="P88" s="157">
        <v>4.1029999999999998</v>
      </c>
    </row>
    <row r="89" spans="1:18">
      <c r="B89" s="623"/>
      <c r="C89" s="3" t="s">
        <v>688</v>
      </c>
      <c r="D89" s="3" t="s">
        <v>688</v>
      </c>
      <c r="E89" s="330">
        <v>45893</v>
      </c>
      <c r="F89" s="330">
        <v>45893</v>
      </c>
      <c r="G89" s="330">
        <v>45901</v>
      </c>
      <c r="H89" s="330">
        <v>45901</v>
      </c>
      <c r="I89" s="3" t="s">
        <v>683</v>
      </c>
      <c r="J89" s="3"/>
      <c r="K89" s="3"/>
      <c r="L89" s="3">
        <v>2490</v>
      </c>
      <c r="M89" s="3"/>
      <c r="N89" s="3"/>
      <c r="O89" s="157">
        <v>2.5419999999999998</v>
      </c>
      <c r="P89" s="157">
        <v>3.0659999999999998</v>
      </c>
    </row>
    <row r="91" spans="1:18">
      <c r="A91" t="s">
        <v>689</v>
      </c>
      <c r="B91" s="630" t="s">
        <v>474</v>
      </c>
      <c r="C91" s="51" t="s">
        <v>431</v>
      </c>
      <c r="D91" s="3"/>
      <c r="E91" s="368">
        <v>46073</v>
      </c>
      <c r="F91" s="368">
        <v>46073</v>
      </c>
      <c r="G91" s="3"/>
      <c r="H91" s="3"/>
      <c r="I91" s="369" t="s">
        <v>683</v>
      </c>
      <c r="L91">
        <v>2500</v>
      </c>
      <c r="M91" s="3">
        <v>0.68</v>
      </c>
      <c r="N91" s="3">
        <v>0.70499999999999996</v>
      </c>
    </row>
    <row r="92" spans="1:18">
      <c r="B92" s="630"/>
      <c r="C92" s="51" t="s">
        <v>496</v>
      </c>
      <c r="D92" s="3"/>
      <c r="E92" s="368">
        <v>46073</v>
      </c>
      <c r="F92" s="368">
        <v>46073</v>
      </c>
      <c r="G92" s="3"/>
      <c r="H92" s="3"/>
      <c r="I92" s="369" t="s">
        <v>683</v>
      </c>
      <c r="L92">
        <v>2500</v>
      </c>
      <c r="M92" s="3">
        <v>0.58799999999999997</v>
      </c>
      <c r="N92" s="3">
        <v>0.68400000000000005</v>
      </c>
    </row>
    <row r="93" spans="1:18">
      <c r="B93" s="630"/>
      <c r="C93" s="51" t="s">
        <v>690</v>
      </c>
      <c r="D93" s="3" t="s">
        <v>691</v>
      </c>
      <c r="E93" s="368">
        <v>46073</v>
      </c>
      <c r="F93" s="368">
        <v>46073</v>
      </c>
      <c r="G93" s="368"/>
      <c r="H93" s="368"/>
      <c r="I93" s="372" t="s">
        <v>683</v>
      </c>
      <c r="L93">
        <v>2500</v>
      </c>
      <c r="M93" s="3">
        <v>0.24299999999999999</v>
      </c>
      <c r="N93" s="3">
        <v>0.27600000000000002</v>
      </c>
    </row>
    <row r="94" spans="1:18">
      <c r="B94" s="630"/>
      <c r="C94" s="51" t="s">
        <v>692</v>
      </c>
      <c r="D94" s="3" t="s">
        <v>693</v>
      </c>
      <c r="E94" s="368">
        <v>46073</v>
      </c>
      <c r="F94" s="368">
        <v>46073</v>
      </c>
      <c r="G94" s="368"/>
      <c r="H94" s="371"/>
      <c r="I94" s="3" t="s">
        <v>426</v>
      </c>
      <c r="J94" s="147" t="s">
        <v>694</v>
      </c>
      <c r="L94">
        <v>2500</v>
      </c>
      <c r="M94" s="392">
        <v>23.457999999999998</v>
      </c>
      <c r="N94" s="392">
        <v>32.478000000000002</v>
      </c>
    </row>
    <row r="95" spans="1:18">
      <c r="B95" s="3"/>
      <c r="C95" s="51"/>
      <c r="D95" s="367"/>
      <c r="E95" s="367"/>
      <c r="F95" s="367"/>
      <c r="G95" s="367"/>
      <c r="H95" s="367"/>
      <c r="I95" s="367"/>
    </row>
    <row r="96" spans="1:18">
      <c r="B96" s="630" t="s">
        <v>695</v>
      </c>
      <c r="C96" s="51" t="s">
        <v>431</v>
      </c>
      <c r="D96" s="3"/>
      <c r="E96" s="368">
        <v>46073</v>
      </c>
      <c r="F96" s="368">
        <v>46073</v>
      </c>
      <c r="G96" s="3"/>
      <c r="H96" s="3"/>
      <c r="I96" s="3" t="s">
        <v>683</v>
      </c>
      <c r="L96">
        <v>2500</v>
      </c>
      <c r="M96" s="3">
        <v>0.68</v>
      </c>
      <c r="N96" s="3">
        <v>0.70499999999999996</v>
      </c>
    </row>
    <row r="97" spans="2:14">
      <c r="B97" s="630"/>
      <c r="C97" s="51" t="s">
        <v>496</v>
      </c>
      <c r="D97" s="45"/>
      <c r="E97" s="368">
        <v>46073</v>
      </c>
      <c r="F97" s="368">
        <v>46073</v>
      </c>
      <c r="G97" s="3"/>
      <c r="H97" s="3"/>
      <c r="I97" s="3" t="s">
        <v>683</v>
      </c>
      <c r="L97">
        <v>2500</v>
      </c>
      <c r="M97" s="3">
        <v>0.58799999999999997</v>
      </c>
      <c r="N97" s="3">
        <v>0.68400000000000005</v>
      </c>
    </row>
    <row r="98" spans="2:14">
      <c r="B98" s="630"/>
      <c r="C98" s="51" t="s">
        <v>696</v>
      </c>
      <c r="D98" s="395" t="s">
        <v>697</v>
      </c>
      <c r="E98" s="368">
        <v>46073</v>
      </c>
      <c r="F98" s="368">
        <v>46073</v>
      </c>
      <c r="G98" s="368"/>
      <c r="H98" s="368"/>
      <c r="I98" s="3" t="s">
        <v>683</v>
      </c>
      <c r="L98">
        <v>2500</v>
      </c>
      <c r="M98" s="3">
        <v>0.255</v>
      </c>
      <c r="N98" s="3">
        <v>0.29799999999999999</v>
      </c>
    </row>
    <row r="99" spans="2:14">
      <c r="B99" s="630"/>
      <c r="C99" s="51" t="s">
        <v>698</v>
      </c>
      <c r="D99" s="395" t="s">
        <v>699</v>
      </c>
      <c r="E99" s="368">
        <v>46073</v>
      </c>
      <c r="F99" s="368">
        <v>46073</v>
      </c>
      <c r="G99" s="368"/>
      <c r="H99" s="368"/>
      <c r="I99" s="3" t="s">
        <v>426</v>
      </c>
      <c r="J99" s="147" t="s">
        <v>694</v>
      </c>
      <c r="L99">
        <v>2500</v>
      </c>
      <c r="M99" s="392">
        <v>22.88</v>
      </c>
      <c r="N99" s="392">
        <v>48.493000000000002</v>
      </c>
    </row>
    <row r="100" spans="2:14">
      <c r="B100" s="3"/>
      <c r="C100" s="51"/>
      <c r="D100" s="395"/>
      <c r="E100" s="3"/>
      <c r="F100" s="3"/>
      <c r="G100" s="3"/>
      <c r="H100" s="3"/>
      <c r="I100" s="3"/>
    </row>
    <row r="101" spans="2:14">
      <c r="B101" s="630" t="s">
        <v>700</v>
      </c>
      <c r="C101" s="51" t="s">
        <v>431</v>
      </c>
      <c r="D101" s="395"/>
      <c r="E101" s="368">
        <v>46073</v>
      </c>
      <c r="F101" s="368">
        <v>46073</v>
      </c>
      <c r="G101" s="3"/>
      <c r="H101" s="3"/>
      <c r="I101" s="3" t="s">
        <v>683</v>
      </c>
      <c r="L101">
        <v>2500</v>
      </c>
      <c r="M101" s="3">
        <v>0.68</v>
      </c>
      <c r="N101" s="3">
        <v>0.70499999999999996</v>
      </c>
    </row>
    <row r="102" spans="2:14">
      <c r="B102" s="630"/>
      <c r="C102" s="51" t="s">
        <v>496</v>
      </c>
      <c r="D102" s="395"/>
      <c r="E102" s="370">
        <v>46073</v>
      </c>
      <c r="F102" s="370">
        <v>46073</v>
      </c>
      <c r="G102" s="175"/>
      <c r="H102" s="175"/>
      <c r="I102" s="175" t="s">
        <v>683</v>
      </c>
      <c r="L102">
        <v>2500</v>
      </c>
      <c r="M102" s="3">
        <v>0.58799999999999997</v>
      </c>
      <c r="N102" s="3">
        <v>0.68400000000000005</v>
      </c>
    </row>
    <row r="103" spans="2:14">
      <c r="B103" s="630"/>
      <c r="C103" s="3" t="s">
        <v>701</v>
      </c>
      <c r="D103" s="396" t="s">
        <v>702</v>
      </c>
      <c r="E103" s="368">
        <v>46073</v>
      </c>
      <c r="F103" s="368">
        <v>46073</v>
      </c>
      <c r="G103" s="368"/>
      <c r="H103" s="368"/>
      <c r="I103" s="3" t="s">
        <v>683</v>
      </c>
      <c r="L103">
        <v>2500</v>
      </c>
      <c r="M103" s="3">
        <v>0.16400000000000001</v>
      </c>
      <c r="N103" s="3">
        <v>0.19600000000000001</v>
      </c>
    </row>
    <row r="104" spans="2:14">
      <c r="B104" s="630"/>
      <c r="C104" s="3" t="s">
        <v>703</v>
      </c>
      <c r="D104" s="397" t="s">
        <v>704</v>
      </c>
      <c r="E104" s="368">
        <v>46073</v>
      </c>
      <c r="F104" s="368">
        <v>46073</v>
      </c>
      <c r="G104" s="368"/>
      <c r="H104" s="368"/>
      <c r="I104" s="3" t="s">
        <v>426</v>
      </c>
      <c r="J104" s="147" t="s">
        <v>694</v>
      </c>
      <c r="L104">
        <v>2500</v>
      </c>
      <c r="M104" s="392">
        <v>14.13</v>
      </c>
      <c r="N104" s="392">
        <v>27.719000000000001</v>
      </c>
    </row>
    <row r="105" spans="2:14">
      <c r="B105" s="3"/>
      <c r="C105" s="3"/>
      <c r="D105" s="398"/>
      <c r="E105" s="3"/>
      <c r="F105" s="3"/>
      <c r="G105" s="3"/>
      <c r="H105" s="3"/>
      <c r="I105" s="3"/>
    </row>
    <row r="106" spans="2:14">
      <c r="B106" s="45" t="s">
        <v>474</v>
      </c>
      <c r="C106" s="623" t="s">
        <v>705</v>
      </c>
      <c r="D106" s="397" t="s">
        <v>474</v>
      </c>
      <c r="E106" s="368">
        <v>46073</v>
      </c>
      <c r="F106" s="368">
        <v>46073</v>
      </c>
      <c r="G106" s="368"/>
      <c r="H106" s="368"/>
      <c r="I106" s="3" t="s">
        <v>426</v>
      </c>
      <c r="L106" s="425" t="s">
        <v>706</v>
      </c>
      <c r="M106" s="392">
        <v>18.271000000000001</v>
      </c>
      <c r="N106" s="392">
        <v>31.350999999999999</v>
      </c>
    </row>
    <row r="107" spans="2:14">
      <c r="B107" s="45" t="s">
        <v>695</v>
      </c>
      <c r="C107" s="623"/>
      <c r="D107" s="397" t="s">
        <v>695</v>
      </c>
      <c r="E107" s="368">
        <v>46073</v>
      </c>
      <c r="F107" s="368">
        <v>46073</v>
      </c>
      <c r="G107" s="368"/>
      <c r="H107" s="368"/>
      <c r="I107" s="3" t="s">
        <v>426</v>
      </c>
      <c r="L107" s="425"/>
      <c r="M107" s="392">
        <v>18.216000000000001</v>
      </c>
      <c r="N107" s="392">
        <v>47.847999999999999</v>
      </c>
    </row>
    <row r="108" spans="2:14">
      <c r="B108" s="45" t="s">
        <v>700</v>
      </c>
      <c r="C108" s="623"/>
      <c r="D108" s="397" t="s">
        <v>700</v>
      </c>
      <c r="E108" s="368">
        <v>46073</v>
      </c>
      <c r="F108" s="368">
        <v>46073</v>
      </c>
      <c r="G108" s="368"/>
      <c r="H108" s="368"/>
      <c r="I108" s="3" t="s">
        <v>426</v>
      </c>
      <c r="J108" s="147" t="s">
        <v>694</v>
      </c>
      <c r="L108" s="425"/>
      <c r="M108" s="392">
        <v>15.568</v>
      </c>
      <c r="N108" s="392">
        <v>28.041</v>
      </c>
    </row>
  </sheetData>
  <mergeCells count="39">
    <mergeCell ref="Q70:Q79"/>
    <mergeCell ref="Q62:Q69"/>
    <mergeCell ref="L106:L108"/>
    <mergeCell ref="B91:B94"/>
    <mergeCell ref="B96:B99"/>
    <mergeCell ref="B101:B104"/>
    <mergeCell ref="C106:C108"/>
    <mergeCell ref="B84:B89"/>
    <mergeCell ref="B32:B38"/>
    <mergeCell ref="B39:B45"/>
    <mergeCell ref="B81:B82"/>
    <mergeCell ref="W1:Z1"/>
    <mergeCell ref="R70:R79"/>
    <mergeCell ref="R81:R82"/>
    <mergeCell ref="R32:R38"/>
    <mergeCell ref="R39:R45"/>
    <mergeCell ref="R46:R53"/>
    <mergeCell ref="R54:R61"/>
    <mergeCell ref="Q39:Q45"/>
    <mergeCell ref="Q32:Q38"/>
    <mergeCell ref="Q54:Q61"/>
    <mergeCell ref="S1:V1"/>
    <mergeCell ref="B70:B79"/>
    <mergeCell ref="AD3:AD28"/>
    <mergeCell ref="R62:R69"/>
    <mergeCell ref="AA1:AB1"/>
    <mergeCell ref="B3:B15"/>
    <mergeCell ref="B16:B24"/>
    <mergeCell ref="Q16:Q24"/>
    <mergeCell ref="R16:R24"/>
    <mergeCell ref="AA3:AA28"/>
    <mergeCell ref="AB3:AB28"/>
    <mergeCell ref="B25:B31"/>
    <mergeCell ref="Q25:Q31"/>
    <mergeCell ref="R25:R31"/>
    <mergeCell ref="B62:B69"/>
    <mergeCell ref="Q46:Q53"/>
    <mergeCell ref="B46:B53"/>
    <mergeCell ref="B54:B61"/>
  </mergeCells>
  <hyperlinks>
    <hyperlink ref="R32:R38" r:id="rId1" display="https://nee.sharepoint.com/teams/EXT_CIStoSAP/Shared%20Documents/Forms/AllItems.aspx?id=%2Fteams%2FEXT%5FCIStoSAP%2FShared%20Documents%2FOperational%20Readiness%20and%20Testing%2F00%2E%20Integrated%20Releases%2F01%2D%20Integrated%20Release%201%2E0%2F02%2E%20UAT%2F03%2E%20Performance%20Testing%2FUnified%20CRM%2D%20Performance%20Test%2FEmployee%20desktop&amp;viewid=7c6b97d2%2De29a%2D4b27%2D98e7%2D3f5d5bd11dff&amp;CT=1744734421771&amp;OR=OWA%2DNT%2DMail&amp;CID=fdad4da5%2D3ad1%2D9d3f%2Ddbc8%2Ddc1163ee8893&amp;e=5%3A114072a8299643868b1c4fc0e1a4594b&amp;sharingv2=true&amp;fromShare=true&amp;at=9&amp;FolderCTID=0x012000D735ADCC1E28D24684C83D05ABBC84C7" xr:uid="{23A150DE-0166-4906-BD63-527306286891}"/>
    <hyperlink ref="R81:R82" r:id="rId2" display="https://nee.sharepoint.com/teams/EXT_CIStoSAP/Shared%20Documents/Forms/AllItems.aspx?id=%2Fteams%2FEXT%5FCIStoSAP%2FShared%20Documents%2FOperational%20Readiness%20and%20Testing%2F00%2E%20Integrated%20Releases%2F01%2D%20Integrated%20Release%201%2E0%2F02%2E%20UAT%2F03%2E%20Performance%20Testing%2FUnified%20CRM%2D%20Performance%20Test%2FEmployee%20desktop&amp;viewid=7c6b97d2%2De29a%2D4b27%2D98e7%2D3f5d5bd11dff&amp;CT=1744734421771&amp;OR=OWA%2DNT%2DMail&amp;CID=fdad4da5%2D3ad1%2D9d3f%2Ddbc8%2Ddc1163ee8893&amp;e=5%3A114072a8299643868b1c4fc0e1a4594b&amp;sharingv2=true&amp;fromShare=true&amp;at=9&amp;FolderCTID=0x012000D735ADCC1E28D24684C83D05ABBC84C7" xr:uid="{6D4BD16B-B4A6-4780-B41F-8860824A969A}"/>
    <hyperlink ref="R25:R31" r:id="rId3" display="https://nee.sharepoint.com/:x:/r/teams/EXT_CIStoSAP/_layouts/15/Doc.aspx?sourcedoc=%7B8E528CDB-3E94-4791-B741-003265B9C67B%7D&amp;file=Acc_main_res_customerid.csv&amp;action=default&amp;mobileredirect=true" xr:uid="{80211471-4FD9-4F96-B60F-C1DB57E097CB}"/>
    <hyperlink ref="R16" r:id="rId4" xr:uid="{E7EAB8A8-7D81-4E1D-9620-03B3B4B68526}"/>
    <hyperlink ref="R39" r:id="rId5" xr:uid="{E330ADED-E0DA-4C97-8FD0-CBE675F99816}"/>
    <hyperlink ref="R46" r:id="rId6" xr:uid="{7D3AA60B-7A3E-464F-AA6B-2E096E4AB476}"/>
    <hyperlink ref="R54" r:id="rId7" xr:uid="{CF087613-6B9E-4D2F-952B-5B2215127D11}"/>
    <hyperlink ref="R62" r:id="rId8" xr:uid="{99608FD0-9C03-42B9-87FA-A9CAC74EE967}"/>
    <hyperlink ref="R70" r:id="rId9" xr:uid="{AE4F7B36-F484-4AEF-A97A-A9036ED0D37F}"/>
    <hyperlink ref="J99" r:id="rId10" xr:uid="{AAF66C34-79B6-46F0-8800-92A623970243}"/>
    <hyperlink ref="J104" r:id="rId11" xr:uid="{378ED782-B687-495C-99C0-B57CE9DBD1E6}"/>
    <hyperlink ref="J108" r:id="rId12" xr:uid="{CF5512D7-092E-42A8-B1BC-C65172B2C201}"/>
    <hyperlink ref="J94" r:id="rId13" xr:uid="{1249C183-402A-45DC-9472-392DA251E8D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ACA2E31-EFFE-4FA8-A1FD-9AAA9A193DC9}">
          <x14:formula1>
            <xm:f>'Execution Status'!$A$1:$A$8</xm:f>
          </x14:formula1>
          <xm:sqref>I81:J82 I3:J79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A7AC4-F1C7-4A89-9E83-F4CFA6FEA0B2}">
  <sheetPr>
    <tabColor rgb="FFCC9D9D"/>
  </sheetPr>
  <dimension ref="A1:E1"/>
  <sheetViews>
    <sheetView workbookViewId="0"/>
  </sheetViews>
  <sheetFormatPr defaultRowHeight="15"/>
  <cols>
    <col min="1" max="1" width="32" customWidth="1"/>
    <col min="2" max="3" width="28.5703125" customWidth="1"/>
    <col min="4" max="4" width="28.85546875" customWidth="1"/>
    <col min="5" max="5" width="21.5703125" customWidth="1"/>
  </cols>
  <sheetData>
    <row r="1" spans="1:5">
      <c r="A1" s="4" t="s">
        <v>78</v>
      </c>
      <c r="B1" s="4" t="s">
        <v>79</v>
      </c>
      <c r="C1" s="4" t="s">
        <v>84</v>
      </c>
      <c r="D1" s="4" t="s">
        <v>85</v>
      </c>
      <c r="E1" s="4" t="s">
        <v>86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9F64DEB-3DE9-41E1-A18E-DA31CCDB8B1C}">
          <x14:formula1>
            <xm:f>'Execution Status'!$A$1:$A$8</xm:f>
          </x14:formula1>
          <xm:sqref>D3:D70 D2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311F4-B53A-4FCB-A279-C5BAB54E6D8A}">
  <sheetPr>
    <tabColor rgb="FF8DD9D6"/>
  </sheetPr>
  <dimension ref="A1:E1"/>
  <sheetViews>
    <sheetView workbookViewId="0"/>
  </sheetViews>
  <sheetFormatPr defaultRowHeight="15"/>
  <cols>
    <col min="1" max="1" width="32.28515625" customWidth="1"/>
    <col min="2" max="2" width="44.85546875" customWidth="1"/>
    <col min="3" max="3" width="28.85546875" customWidth="1"/>
    <col min="4" max="4" width="19.7109375" customWidth="1"/>
    <col min="5" max="5" width="22.140625" customWidth="1"/>
  </cols>
  <sheetData>
    <row r="1" spans="1:5">
      <c r="A1" s="4" t="s">
        <v>78</v>
      </c>
      <c r="B1" s="4" t="s">
        <v>79</v>
      </c>
      <c r="C1" s="4" t="s">
        <v>84</v>
      </c>
      <c r="D1" s="4" t="s">
        <v>85</v>
      </c>
      <c r="E1" s="4" t="s">
        <v>86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C20ADC1-BFD3-47E1-ACB3-65ADB38BE5F0}">
          <x14:formula1>
            <xm:f>'Execution Status'!$A$1:$A$8</xm:f>
          </x14:formula1>
          <xm:sqref>D2:D67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31511-8F79-4D9F-9090-88B4A00E7854}">
  <sheetPr>
    <tabColor rgb="FF8DD9D6"/>
  </sheetPr>
  <dimension ref="A1:E1"/>
  <sheetViews>
    <sheetView workbookViewId="0"/>
  </sheetViews>
  <sheetFormatPr defaultRowHeight="15"/>
  <cols>
    <col min="1" max="1" width="32.28515625" customWidth="1"/>
    <col min="2" max="2" width="44.85546875" customWidth="1"/>
    <col min="3" max="3" width="28.85546875" customWidth="1"/>
    <col min="4" max="4" width="19.7109375" customWidth="1"/>
    <col min="5" max="5" width="22.140625" customWidth="1"/>
  </cols>
  <sheetData>
    <row r="1" spans="1:5">
      <c r="A1" s="4" t="s">
        <v>78</v>
      </c>
      <c r="B1" s="4" t="s">
        <v>79</v>
      </c>
      <c r="C1" s="4" t="s">
        <v>84</v>
      </c>
      <c r="D1" s="4" t="s">
        <v>85</v>
      </c>
      <c r="E1" s="4" t="s">
        <v>86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95E5E48-68FA-45D1-9604-026FC0724D82}">
          <x14:formula1>
            <xm:f>'Execution Status'!$A$1:$A$8</xm:f>
          </x14:formula1>
          <xm:sqref>D2:D67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C1587-0358-4D43-A499-FDE52860462E}">
  <sheetPr>
    <tabColor rgb="FFC4CC68"/>
  </sheetPr>
  <dimension ref="A1:E1"/>
  <sheetViews>
    <sheetView workbookViewId="0">
      <selection sqref="A1:E1"/>
    </sheetView>
  </sheetViews>
  <sheetFormatPr defaultRowHeight="15"/>
  <cols>
    <col min="1" max="1" width="31.7109375" customWidth="1"/>
    <col min="2" max="3" width="26.7109375" customWidth="1"/>
    <col min="4" max="4" width="23.42578125" customWidth="1"/>
    <col min="5" max="5" width="21" customWidth="1"/>
  </cols>
  <sheetData>
    <row r="1" spans="1:5">
      <c r="A1" s="4" t="s">
        <v>78</v>
      </c>
      <c r="B1" s="4" t="s">
        <v>79</v>
      </c>
      <c r="C1" s="4" t="s">
        <v>84</v>
      </c>
      <c r="D1" s="4" t="s">
        <v>85</v>
      </c>
      <c r="E1" s="4" t="s">
        <v>86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A9BD20A-4858-4922-8F65-671A48B7431F}">
          <x14:formula1>
            <xm:f>'Execution Status'!$A$1:$A$8</xm:f>
          </x14:formula1>
          <xm:sqref>D2:D59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01948-5D44-4274-ACFE-04536DDBEFFF}">
  <sheetPr>
    <tabColor rgb="FF6A93CC"/>
  </sheetPr>
  <dimension ref="A1:U241"/>
  <sheetViews>
    <sheetView workbookViewId="0">
      <selection activeCell="D4" sqref="D4"/>
    </sheetView>
  </sheetViews>
  <sheetFormatPr defaultRowHeight="15" customHeight="1"/>
  <cols>
    <col min="1" max="1" width="61" bestFit="1" customWidth="1"/>
    <col min="2" max="2" width="48.7109375" customWidth="1"/>
    <col min="3" max="3" width="24" customWidth="1"/>
    <col min="4" max="4" width="20" customWidth="1"/>
    <col min="5" max="5" width="15.42578125" bestFit="1" customWidth="1"/>
    <col min="6" max="6" width="22.5703125" bestFit="1" customWidth="1"/>
    <col min="7" max="7" width="19.7109375" customWidth="1"/>
    <col min="8" max="8" width="21.85546875" customWidth="1"/>
    <col min="9" max="9" width="26" customWidth="1"/>
    <col min="10" max="20" width="19.7109375" style="133" customWidth="1"/>
    <col min="21" max="21" width="28.42578125" style="133" customWidth="1"/>
  </cols>
  <sheetData>
    <row r="1" spans="1:21" ht="15" customHeight="1">
      <c r="J1" s="189" t="s">
        <v>75</v>
      </c>
      <c r="K1" s="190"/>
      <c r="L1" s="190"/>
      <c r="M1" s="191"/>
      <c r="N1" s="187" t="s">
        <v>76</v>
      </c>
      <c r="O1" s="192"/>
      <c r="P1" s="192"/>
      <c r="Q1" s="193"/>
      <c r="R1" s="188" t="s">
        <v>77</v>
      </c>
      <c r="S1" s="194"/>
    </row>
    <row r="2" spans="1:21" ht="30">
      <c r="A2" s="14" t="s">
        <v>78</v>
      </c>
      <c r="B2" s="14" t="s">
        <v>79</v>
      </c>
      <c r="C2" s="14" t="s">
        <v>84</v>
      </c>
      <c r="D2" s="14" t="s">
        <v>85</v>
      </c>
      <c r="E2" s="198" t="s">
        <v>192</v>
      </c>
      <c r="F2" s="199" t="s">
        <v>198</v>
      </c>
      <c r="G2" s="200" t="s">
        <v>199</v>
      </c>
      <c r="H2" s="14" t="s">
        <v>86</v>
      </c>
      <c r="I2" s="13" t="s">
        <v>200</v>
      </c>
      <c r="J2" s="131" t="s">
        <v>88</v>
      </c>
      <c r="K2" s="182" t="s">
        <v>89</v>
      </c>
      <c r="L2" s="182" t="s">
        <v>82</v>
      </c>
      <c r="M2" s="182" t="s">
        <v>83</v>
      </c>
      <c r="N2" s="131" t="s">
        <v>90</v>
      </c>
      <c r="O2" s="182" t="s">
        <v>89</v>
      </c>
      <c r="P2" s="182" t="s">
        <v>82</v>
      </c>
      <c r="Q2" s="182" t="s">
        <v>83</v>
      </c>
      <c r="R2" s="182" t="s">
        <v>82</v>
      </c>
      <c r="S2" s="182" t="s">
        <v>83</v>
      </c>
      <c r="T2" s="182" t="s">
        <v>91</v>
      </c>
      <c r="U2" s="182" t="s">
        <v>92</v>
      </c>
    </row>
    <row r="3" spans="1:21" ht="43.5" customHeight="1">
      <c r="A3" s="3" t="s">
        <v>707</v>
      </c>
      <c r="B3" s="5" t="s">
        <v>299</v>
      </c>
      <c r="C3" s="44">
        <v>45768</v>
      </c>
      <c r="D3" s="43" t="s">
        <v>304</v>
      </c>
      <c r="E3" s="3"/>
      <c r="F3" s="24"/>
      <c r="G3" s="24"/>
      <c r="H3" s="451" t="s">
        <v>708</v>
      </c>
      <c r="I3" s="451" t="s">
        <v>709</v>
      </c>
    </row>
    <row r="4" spans="1:21" ht="14.45" customHeight="1">
      <c r="A4" s="3"/>
      <c r="B4" s="5" t="s">
        <v>264</v>
      </c>
      <c r="C4" s="44">
        <v>45768</v>
      </c>
      <c r="D4" s="43" t="s">
        <v>304</v>
      </c>
      <c r="E4" s="3"/>
      <c r="F4" s="24"/>
      <c r="G4" s="24"/>
      <c r="H4" s="452"/>
      <c r="I4" s="452"/>
    </row>
    <row r="5" spans="1:21" ht="14.45" customHeight="1">
      <c r="A5" s="3"/>
      <c r="B5" s="5" t="s">
        <v>710</v>
      </c>
      <c r="C5" s="44">
        <v>45768</v>
      </c>
      <c r="D5" s="43" t="s">
        <v>304</v>
      </c>
      <c r="E5" s="3"/>
      <c r="F5" s="24"/>
      <c r="G5" s="24"/>
      <c r="H5" s="452"/>
      <c r="I5" s="452"/>
    </row>
    <row r="6" spans="1:21" ht="14.45" customHeight="1">
      <c r="A6" s="3"/>
      <c r="B6" s="5" t="s">
        <v>711</v>
      </c>
      <c r="C6" s="44">
        <v>45768</v>
      </c>
      <c r="D6" s="43" t="s">
        <v>304</v>
      </c>
      <c r="E6" s="3"/>
      <c r="F6" s="24"/>
      <c r="G6" s="24"/>
      <c r="H6" s="452"/>
      <c r="I6" s="452"/>
    </row>
    <row r="7" spans="1:21" ht="14.45" customHeight="1">
      <c r="A7" s="3"/>
      <c r="B7" s="5" t="s">
        <v>712</v>
      </c>
      <c r="C7" s="44">
        <v>45768</v>
      </c>
      <c r="D7" s="43" t="s">
        <v>304</v>
      </c>
      <c r="E7" s="3"/>
      <c r="F7" s="24"/>
      <c r="G7" s="24"/>
      <c r="H7" s="452"/>
      <c r="I7" s="452"/>
      <c r="J7" s="132"/>
      <c r="K7" s="132"/>
      <c r="L7" s="181"/>
      <c r="M7" s="181"/>
      <c r="N7" s="181"/>
      <c r="O7" s="181"/>
      <c r="P7" s="181"/>
      <c r="Q7" s="181"/>
      <c r="R7" s="181"/>
      <c r="S7" s="181"/>
      <c r="T7" s="181"/>
      <c r="U7" s="181"/>
    </row>
    <row r="8" spans="1:21" ht="14.45" customHeight="1">
      <c r="A8" s="3"/>
      <c r="B8" s="5" t="s">
        <v>713</v>
      </c>
      <c r="C8" s="44">
        <v>45768</v>
      </c>
      <c r="D8" s="43" t="s">
        <v>304</v>
      </c>
      <c r="E8" s="3"/>
      <c r="F8" s="24"/>
      <c r="G8" s="24"/>
      <c r="H8" s="452"/>
      <c r="I8" s="452"/>
      <c r="J8" s="132"/>
      <c r="K8" s="132"/>
      <c r="L8" s="181"/>
      <c r="M8" s="181"/>
      <c r="N8" s="181"/>
      <c r="O8" s="181"/>
      <c r="P8" s="181"/>
      <c r="Q8" s="181"/>
      <c r="R8" s="181"/>
      <c r="S8" s="181"/>
      <c r="T8" s="181"/>
      <c r="U8" s="181"/>
    </row>
    <row r="9" spans="1:21" ht="14.45" customHeight="1">
      <c r="A9" s="3"/>
      <c r="B9" s="15" t="s">
        <v>277</v>
      </c>
      <c r="C9" s="44">
        <v>45768</v>
      </c>
      <c r="D9" s="43" t="s">
        <v>304</v>
      </c>
      <c r="E9" s="3"/>
      <c r="F9" s="24"/>
      <c r="G9" s="24"/>
      <c r="H9" s="453"/>
      <c r="I9" s="453"/>
      <c r="J9" s="132"/>
      <c r="K9" s="132"/>
      <c r="L9" s="181"/>
      <c r="M9" s="181"/>
      <c r="N9" s="181"/>
      <c r="O9" s="181"/>
      <c r="P9" s="181"/>
      <c r="Q9" s="181"/>
      <c r="R9" s="181"/>
      <c r="S9" s="181"/>
      <c r="T9" s="181"/>
      <c r="U9" s="181"/>
    </row>
    <row r="10" spans="1:21" ht="57.95" customHeight="1">
      <c r="A10" s="3" t="s">
        <v>714</v>
      </c>
      <c r="B10" s="5" t="s">
        <v>253</v>
      </c>
      <c r="C10" s="44">
        <v>45768</v>
      </c>
      <c r="D10" s="43" t="s">
        <v>304</v>
      </c>
      <c r="E10" s="3"/>
      <c r="F10" s="24"/>
      <c r="G10" s="24"/>
      <c r="H10" s="451" t="s">
        <v>708</v>
      </c>
      <c r="I10" s="451" t="s">
        <v>715</v>
      </c>
      <c r="J10" s="132"/>
      <c r="K10" s="132"/>
      <c r="L10" s="181"/>
      <c r="M10" s="181"/>
      <c r="N10" s="181"/>
      <c r="O10" s="181"/>
      <c r="P10" s="181"/>
      <c r="Q10" s="181"/>
      <c r="R10" s="181"/>
      <c r="S10" s="181"/>
      <c r="T10" s="181"/>
      <c r="U10" s="181"/>
    </row>
    <row r="11" spans="1:21" ht="14.45" customHeight="1">
      <c r="A11" s="3"/>
      <c r="B11" s="5" t="s">
        <v>256</v>
      </c>
      <c r="C11" s="44">
        <v>45768</v>
      </c>
      <c r="D11" s="43" t="s">
        <v>304</v>
      </c>
      <c r="E11" s="3"/>
      <c r="F11" s="24"/>
      <c r="G11" s="24"/>
      <c r="H11" s="452"/>
      <c r="I11" s="452"/>
      <c r="J11" s="132"/>
      <c r="K11" s="132"/>
      <c r="L11" s="181"/>
      <c r="M11" s="181"/>
      <c r="N11" s="181"/>
      <c r="O11" s="181"/>
      <c r="P11" s="181"/>
      <c r="Q11" s="181"/>
      <c r="R11" s="181"/>
      <c r="S11" s="181"/>
      <c r="T11" s="181"/>
      <c r="U11" s="181"/>
    </row>
    <row r="12" spans="1:21" ht="14.45" customHeight="1">
      <c r="A12" s="3"/>
      <c r="B12" s="5" t="s">
        <v>258</v>
      </c>
      <c r="C12" s="44">
        <v>45768</v>
      </c>
      <c r="D12" s="43" t="s">
        <v>304</v>
      </c>
      <c r="E12" s="3"/>
      <c r="F12" s="24"/>
      <c r="G12" s="24"/>
      <c r="H12" s="452"/>
      <c r="I12" s="452"/>
      <c r="J12" s="132"/>
      <c r="K12" s="132"/>
      <c r="L12" s="181"/>
      <c r="M12" s="181"/>
      <c r="N12" s="181"/>
      <c r="O12" s="181"/>
      <c r="P12" s="181"/>
      <c r="Q12" s="181"/>
      <c r="R12" s="181"/>
      <c r="S12" s="181"/>
      <c r="T12" s="181"/>
      <c r="U12" s="181"/>
    </row>
    <row r="13" spans="1:21" ht="14.45" customHeight="1">
      <c r="A13" s="3"/>
      <c r="B13" s="5" t="s">
        <v>716</v>
      </c>
      <c r="C13" s="44">
        <v>45768</v>
      </c>
      <c r="D13" s="43" t="s">
        <v>304</v>
      </c>
      <c r="E13" s="3"/>
      <c r="F13" s="24"/>
      <c r="G13" s="24"/>
      <c r="H13" s="452"/>
      <c r="I13" s="452"/>
      <c r="J13" s="132"/>
      <c r="K13" s="132"/>
      <c r="L13" s="181"/>
      <c r="M13" s="181"/>
      <c r="N13" s="181"/>
      <c r="O13" s="181"/>
      <c r="P13" s="181"/>
      <c r="Q13" s="181"/>
      <c r="R13" s="181"/>
      <c r="S13" s="181"/>
      <c r="T13" s="181"/>
      <c r="U13" s="181"/>
    </row>
    <row r="14" spans="1:21" ht="14.45" customHeight="1">
      <c r="A14" s="3"/>
      <c r="B14" s="15" t="s">
        <v>717</v>
      </c>
      <c r="C14" s="44">
        <v>45768</v>
      </c>
      <c r="D14" s="43" t="s">
        <v>304</v>
      </c>
      <c r="E14" s="175"/>
      <c r="F14" s="201"/>
      <c r="G14" s="201"/>
      <c r="H14" s="453"/>
      <c r="I14" s="453"/>
      <c r="J14" s="132"/>
      <c r="K14" s="132"/>
      <c r="L14" s="181"/>
      <c r="M14" s="181"/>
      <c r="N14" s="181"/>
      <c r="O14" s="181"/>
      <c r="P14" s="181"/>
      <c r="Q14" s="181"/>
      <c r="R14" s="181"/>
      <c r="S14" s="181"/>
      <c r="T14" s="181"/>
      <c r="U14" s="181"/>
    </row>
    <row r="15" spans="1:21" ht="14.45" customHeight="1">
      <c r="A15" s="3" t="s">
        <v>718</v>
      </c>
      <c r="B15" s="5" t="s">
        <v>239</v>
      </c>
      <c r="C15" s="44">
        <v>45768</v>
      </c>
      <c r="D15" s="43" t="s">
        <v>304</v>
      </c>
      <c r="E15" s="3"/>
      <c r="F15" s="24"/>
      <c r="G15" s="24"/>
      <c r="H15" s="451" t="s">
        <v>708</v>
      </c>
      <c r="I15" s="451" t="s">
        <v>719</v>
      </c>
      <c r="J15" s="132"/>
      <c r="K15" s="132"/>
      <c r="L15" s="181"/>
      <c r="M15" s="181"/>
      <c r="N15" s="181"/>
      <c r="O15" s="181"/>
      <c r="P15" s="181"/>
      <c r="Q15" s="181"/>
      <c r="R15" s="181"/>
      <c r="S15" s="181"/>
      <c r="T15" s="181"/>
      <c r="U15" s="181"/>
    </row>
    <row r="16" spans="1:21" ht="14.45" customHeight="1">
      <c r="A16" s="3"/>
      <c r="B16" s="5" t="s">
        <v>264</v>
      </c>
      <c r="C16" s="44">
        <v>45768</v>
      </c>
      <c r="D16" s="43" t="s">
        <v>304</v>
      </c>
      <c r="E16" s="3"/>
      <c r="F16" s="24"/>
      <c r="G16" s="24"/>
      <c r="H16" s="452"/>
      <c r="I16" s="452"/>
      <c r="J16" s="132"/>
      <c r="K16" s="132"/>
      <c r="L16" s="181"/>
      <c r="M16" s="181"/>
      <c r="N16" s="181"/>
      <c r="O16" s="181"/>
      <c r="P16" s="181"/>
      <c r="Q16" s="181"/>
      <c r="R16" s="181"/>
      <c r="S16" s="181"/>
      <c r="T16" s="181"/>
      <c r="U16" s="181"/>
    </row>
    <row r="17" spans="1:21" ht="29.1" customHeight="1">
      <c r="A17" s="3"/>
      <c r="B17" s="5" t="s">
        <v>720</v>
      </c>
      <c r="C17" s="44">
        <v>45768</v>
      </c>
      <c r="D17" s="43" t="s">
        <v>304</v>
      </c>
      <c r="E17" s="3"/>
      <c r="F17" s="24"/>
      <c r="G17" s="24"/>
      <c r="H17" s="452"/>
      <c r="I17" s="452"/>
      <c r="J17" s="132"/>
      <c r="K17" s="132"/>
      <c r="L17" s="181"/>
      <c r="M17" s="181"/>
      <c r="N17" s="181"/>
      <c r="O17" s="181"/>
      <c r="P17" s="181"/>
      <c r="Q17" s="181"/>
      <c r="R17" s="181"/>
      <c r="S17" s="181"/>
      <c r="T17" s="181"/>
      <c r="U17" s="181"/>
    </row>
    <row r="18" spans="1:21" ht="14.45" customHeight="1">
      <c r="A18" s="3"/>
      <c r="B18" s="5" t="s">
        <v>721</v>
      </c>
      <c r="C18" s="44">
        <v>45768</v>
      </c>
      <c r="D18" s="43" t="s">
        <v>304</v>
      </c>
      <c r="E18" s="3"/>
      <c r="F18" s="24"/>
      <c r="G18" s="24"/>
      <c r="H18" s="452"/>
      <c r="I18" s="452"/>
      <c r="J18" s="132"/>
      <c r="K18" s="132"/>
      <c r="L18" s="181"/>
      <c r="M18" s="181"/>
      <c r="N18" s="181"/>
      <c r="O18" s="181"/>
      <c r="P18" s="181"/>
      <c r="Q18" s="181"/>
      <c r="R18" s="181"/>
      <c r="S18" s="181"/>
      <c r="T18" s="181"/>
      <c r="U18" s="181"/>
    </row>
    <row r="19" spans="1:21" ht="29.1" customHeight="1">
      <c r="A19" s="3"/>
      <c r="B19" s="5" t="s">
        <v>722</v>
      </c>
      <c r="C19" s="44">
        <v>45768</v>
      </c>
      <c r="D19" s="43" t="s">
        <v>304</v>
      </c>
      <c r="E19" s="3"/>
      <c r="F19" s="24"/>
      <c r="G19" s="24"/>
      <c r="H19" s="452"/>
      <c r="I19" s="452"/>
      <c r="J19" s="132"/>
      <c r="K19" s="132"/>
      <c r="L19" s="181"/>
      <c r="M19" s="181"/>
      <c r="N19" s="181"/>
      <c r="O19" s="181"/>
      <c r="P19" s="181"/>
      <c r="Q19" s="181"/>
      <c r="R19" s="181"/>
      <c r="S19" s="181"/>
      <c r="T19" s="181"/>
      <c r="U19" s="181"/>
    </row>
    <row r="20" spans="1:21" ht="29.1" customHeight="1">
      <c r="A20" s="3"/>
      <c r="B20" s="5" t="s">
        <v>723</v>
      </c>
      <c r="C20" s="44">
        <v>45768</v>
      </c>
      <c r="D20" s="43" t="s">
        <v>304</v>
      </c>
      <c r="E20" s="3"/>
      <c r="F20" s="24"/>
      <c r="G20" s="24"/>
      <c r="H20" s="452"/>
      <c r="I20" s="452"/>
      <c r="J20" s="132"/>
      <c r="K20" s="132"/>
      <c r="L20" s="181"/>
      <c r="M20" s="181"/>
      <c r="N20" s="181"/>
      <c r="O20" s="181"/>
      <c r="P20" s="181"/>
      <c r="Q20" s="181"/>
      <c r="R20" s="181"/>
      <c r="S20" s="181"/>
      <c r="T20" s="181"/>
      <c r="U20" s="181"/>
    </row>
    <row r="21" spans="1:21" ht="14.45" customHeight="1">
      <c r="A21" s="3"/>
      <c r="B21" s="5" t="s">
        <v>724</v>
      </c>
      <c r="C21" s="44">
        <v>45768</v>
      </c>
      <c r="D21" s="43" t="s">
        <v>304</v>
      </c>
      <c r="E21" s="3"/>
      <c r="F21" s="24"/>
      <c r="G21" s="24"/>
      <c r="H21" s="452"/>
      <c r="I21" s="452"/>
      <c r="J21" s="132"/>
      <c r="K21" s="132"/>
      <c r="L21" s="181"/>
      <c r="M21" s="181"/>
      <c r="N21" s="181"/>
      <c r="O21" s="181"/>
      <c r="P21" s="181"/>
      <c r="Q21" s="181"/>
      <c r="R21" s="181"/>
      <c r="S21" s="181"/>
      <c r="T21" s="181"/>
      <c r="U21" s="181"/>
    </row>
    <row r="22" spans="1:21" ht="14.45" customHeight="1">
      <c r="A22" s="3"/>
      <c r="B22" s="5" t="s">
        <v>725</v>
      </c>
      <c r="C22" s="44">
        <v>45768</v>
      </c>
      <c r="D22" s="43" t="s">
        <v>304</v>
      </c>
      <c r="E22" s="3"/>
      <c r="F22" s="24"/>
      <c r="G22" s="24"/>
      <c r="H22" s="452"/>
      <c r="I22" s="452"/>
      <c r="J22" s="132"/>
      <c r="K22" s="132"/>
      <c r="L22" s="181"/>
      <c r="M22" s="181"/>
      <c r="N22" s="181"/>
      <c r="O22" s="181"/>
      <c r="P22" s="181"/>
      <c r="Q22" s="181"/>
      <c r="R22" s="181"/>
      <c r="S22" s="181"/>
      <c r="T22" s="181"/>
      <c r="U22" s="181"/>
    </row>
    <row r="23" spans="1:21" ht="14.45" customHeight="1">
      <c r="A23" s="3"/>
      <c r="B23" s="15" t="s">
        <v>726</v>
      </c>
      <c r="C23" s="44">
        <v>45768</v>
      </c>
      <c r="D23" s="43" t="s">
        <v>304</v>
      </c>
      <c r="E23" s="3"/>
      <c r="F23" s="24"/>
      <c r="G23" s="24"/>
      <c r="H23" s="453"/>
      <c r="I23" s="453"/>
      <c r="J23" s="132"/>
      <c r="K23" s="132"/>
      <c r="L23" s="181"/>
      <c r="M23" s="181"/>
      <c r="N23" s="181"/>
      <c r="O23" s="181"/>
      <c r="P23" s="181"/>
      <c r="Q23" s="181"/>
      <c r="R23" s="181"/>
      <c r="S23" s="181"/>
      <c r="T23" s="181"/>
      <c r="U23" s="181"/>
    </row>
    <row r="24" spans="1:21" ht="29.1" customHeight="1">
      <c r="A24" s="3" t="s">
        <v>727</v>
      </c>
      <c r="B24" s="5" t="s">
        <v>728</v>
      </c>
      <c r="C24" s="44">
        <v>45768</v>
      </c>
      <c r="D24" s="43" t="s">
        <v>304</v>
      </c>
      <c r="E24" s="3"/>
      <c r="F24" s="24"/>
      <c r="G24" s="24"/>
      <c r="H24" s="451" t="s">
        <v>708</v>
      </c>
      <c r="I24" s="451" t="s">
        <v>729</v>
      </c>
      <c r="J24" s="132"/>
      <c r="K24" s="132"/>
      <c r="L24" s="181"/>
      <c r="M24" s="181"/>
      <c r="N24" s="181"/>
      <c r="O24" s="181"/>
      <c r="P24" s="181"/>
      <c r="Q24" s="181"/>
      <c r="R24" s="181"/>
      <c r="S24" s="181"/>
      <c r="T24" s="181"/>
      <c r="U24" s="181"/>
    </row>
    <row r="25" spans="1:21" ht="14.45" customHeight="1">
      <c r="A25" s="3"/>
      <c r="B25" s="5" t="s">
        <v>730</v>
      </c>
      <c r="C25" s="44">
        <v>45768</v>
      </c>
      <c r="D25" s="43" t="s">
        <v>304</v>
      </c>
      <c r="E25" s="3"/>
      <c r="F25" s="24"/>
      <c r="G25" s="24"/>
      <c r="H25" s="452"/>
      <c r="I25" s="452"/>
      <c r="J25" s="132"/>
      <c r="K25" s="132"/>
      <c r="L25" s="181"/>
      <c r="M25" s="181"/>
      <c r="N25" s="181"/>
      <c r="O25" s="181"/>
      <c r="P25" s="181"/>
      <c r="Q25" s="181"/>
      <c r="R25" s="181"/>
      <c r="S25" s="181"/>
      <c r="T25" s="181"/>
      <c r="U25" s="181"/>
    </row>
    <row r="26" spans="1:21" ht="14.45" customHeight="1">
      <c r="A26" s="3"/>
      <c r="B26" s="5" t="s">
        <v>360</v>
      </c>
      <c r="C26" s="44">
        <v>45768</v>
      </c>
      <c r="D26" s="43" t="s">
        <v>304</v>
      </c>
      <c r="E26" s="3"/>
      <c r="F26" s="24"/>
      <c r="G26" s="24"/>
      <c r="H26" s="452"/>
      <c r="I26" s="452"/>
      <c r="J26" s="132"/>
      <c r="K26" s="132"/>
      <c r="L26" s="181"/>
      <c r="M26" s="181"/>
      <c r="N26" s="181"/>
      <c r="O26" s="181"/>
      <c r="P26" s="181"/>
      <c r="Q26" s="181"/>
      <c r="R26" s="181"/>
      <c r="S26" s="181"/>
      <c r="T26" s="181"/>
      <c r="U26" s="181"/>
    </row>
    <row r="27" spans="1:21" ht="14.45" customHeight="1">
      <c r="A27" s="3"/>
      <c r="B27" s="5" t="s">
        <v>731</v>
      </c>
      <c r="C27" s="44">
        <v>45768</v>
      </c>
      <c r="D27" s="43" t="s">
        <v>304</v>
      </c>
      <c r="E27" s="3"/>
      <c r="F27" s="24"/>
      <c r="G27" s="24"/>
      <c r="H27" s="452"/>
      <c r="I27" s="452"/>
      <c r="J27" s="132"/>
      <c r="K27" s="132"/>
      <c r="L27" s="181"/>
      <c r="M27" s="181"/>
      <c r="N27" s="181"/>
      <c r="O27" s="181"/>
      <c r="P27" s="181"/>
      <c r="Q27" s="181"/>
      <c r="R27" s="181"/>
      <c r="S27" s="181"/>
      <c r="T27" s="181"/>
      <c r="U27" s="181"/>
    </row>
    <row r="28" spans="1:21" ht="14.45" customHeight="1">
      <c r="A28" s="3"/>
      <c r="B28" s="5" t="s">
        <v>732</v>
      </c>
      <c r="C28" s="44">
        <v>45768</v>
      </c>
      <c r="D28" s="43" t="s">
        <v>304</v>
      </c>
      <c r="E28" s="3"/>
      <c r="F28" s="24"/>
      <c r="G28" s="24"/>
      <c r="H28" s="452"/>
      <c r="I28" s="452"/>
      <c r="J28" s="132"/>
      <c r="K28" s="132"/>
      <c r="L28" s="181"/>
      <c r="M28" s="181"/>
      <c r="N28" s="181"/>
      <c r="O28" s="181"/>
      <c r="P28" s="181"/>
      <c r="Q28" s="181"/>
      <c r="R28" s="181"/>
      <c r="S28" s="181"/>
      <c r="T28" s="181"/>
      <c r="U28" s="181"/>
    </row>
    <row r="29" spans="1:21" ht="14.45" customHeight="1">
      <c r="A29" s="3"/>
      <c r="B29" s="15" t="s">
        <v>733</v>
      </c>
      <c r="C29" s="44">
        <v>45768</v>
      </c>
      <c r="D29" s="43" t="s">
        <v>304</v>
      </c>
      <c r="E29" s="3"/>
      <c r="F29" s="24"/>
      <c r="G29" s="24"/>
      <c r="H29" s="453"/>
      <c r="I29" s="453"/>
      <c r="J29" s="132"/>
      <c r="K29" s="132"/>
      <c r="L29" s="181"/>
      <c r="M29" s="181"/>
      <c r="N29" s="181"/>
      <c r="O29" s="181"/>
      <c r="P29" s="181"/>
      <c r="Q29" s="181"/>
      <c r="R29" s="181"/>
      <c r="S29" s="181"/>
      <c r="T29" s="181"/>
      <c r="U29" s="181"/>
    </row>
    <row r="30" spans="1:21">
      <c r="J30"/>
      <c r="K30"/>
      <c r="L30"/>
      <c r="M30"/>
      <c r="N30"/>
      <c r="O30"/>
      <c r="P30"/>
      <c r="Q30"/>
      <c r="R30"/>
      <c r="S30"/>
      <c r="T30"/>
      <c r="U30"/>
    </row>
    <row r="31" spans="1:21">
      <c r="J31"/>
      <c r="K31"/>
      <c r="L31"/>
      <c r="M31"/>
      <c r="N31"/>
      <c r="O31"/>
      <c r="P31"/>
      <c r="Q31"/>
      <c r="R31"/>
      <c r="S31"/>
      <c r="T31"/>
      <c r="U31"/>
    </row>
    <row r="32" spans="1:21">
      <c r="J32"/>
      <c r="K32"/>
      <c r="L32"/>
      <c r="M32"/>
      <c r="N32"/>
      <c r="O32"/>
      <c r="P32"/>
      <c r="Q32"/>
      <c r="R32"/>
      <c r="S32"/>
      <c r="T32"/>
      <c r="U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customFormat="1" ht="15" customHeight="1"/>
    <row r="82" customFormat="1" ht="15" customHeight="1"/>
    <row r="83" customFormat="1" ht="15" customHeight="1"/>
    <row r="84" customFormat="1" ht="15" customHeight="1"/>
    <row r="85" customFormat="1" ht="15" customHeight="1"/>
    <row r="86" customFormat="1" ht="15" customHeight="1"/>
    <row r="87" customFormat="1" ht="15" customHeight="1"/>
    <row r="88" customFormat="1" ht="15" customHeight="1"/>
    <row r="89" customFormat="1" ht="15" customHeight="1"/>
    <row r="90" customFormat="1" ht="15" customHeight="1"/>
    <row r="91" customFormat="1" ht="15" customHeight="1"/>
    <row r="92" customFormat="1" ht="15" customHeight="1"/>
    <row r="93" customFormat="1" ht="15" customHeight="1"/>
    <row r="94" customFormat="1" ht="15" customHeight="1"/>
    <row r="95" customFormat="1" ht="15" customHeight="1"/>
    <row r="96" customFormat="1" ht="15" customHeight="1"/>
    <row r="97" customFormat="1" ht="15" customHeight="1"/>
    <row r="98" customFormat="1" ht="15" customHeight="1"/>
    <row r="99" customFormat="1" ht="15" customHeight="1"/>
    <row r="100" customFormat="1" ht="15" customHeight="1"/>
    <row r="101" customFormat="1" ht="15" customHeight="1"/>
    <row r="102" customFormat="1" ht="15" customHeight="1"/>
    <row r="103" customFormat="1" ht="15" customHeight="1"/>
    <row r="104" customFormat="1" ht="15" customHeight="1"/>
    <row r="105" customFormat="1" ht="15" customHeight="1"/>
    <row r="106" customFormat="1" ht="15" customHeight="1"/>
    <row r="107" customFormat="1" ht="15" customHeight="1"/>
    <row r="108" customFormat="1" ht="15" customHeight="1"/>
    <row r="109" customFormat="1" ht="15" customHeight="1"/>
    <row r="110" customFormat="1" ht="15" customHeight="1"/>
    <row r="111" customFormat="1" ht="15" customHeight="1"/>
    <row r="112" customFormat="1" ht="15" customHeight="1"/>
    <row r="113" customFormat="1" ht="15" customHeight="1"/>
    <row r="114" customFormat="1" ht="15" customHeight="1"/>
    <row r="115" customFormat="1" ht="15" customHeight="1"/>
    <row r="116" customFormat="1" ht="15" customHeight="1"/>
    <row r="117" customFormat="1" ht="15" customHeight="1"/>
    <row r="118" customFormat="1" ht="15" customHeight="1"/>
    <row r="119" customFormat="1" ht="15" customHeight="1"/>
    <row r="120" customFormat="1" ht="15" customHeight="1"/>
    <row r="121" customFormat="1" ht="15" customHeight="1"/>
    <row r="122" customFormat="1" ht="15" customHeight="1"/>
    <row r="123" customFormat="1" ht="15" customHeight="1"/>
    <row r="124" customFormat="1" ht="15" customHeight="1"/>
    <row r="125" customFormat="1" ht="15" customHeight="1"/>
    <row r="126" customFormat="1" ht="15" customHeight="1"/>
    <row r="127" customFormat="1" ht="15" customHeight="1"/>
    <row r="128" customFormat="1" ht="15" customHeight="1"/>
    <row r="129" customFormat="1" ht="15" customHeight="1"/>
    <row r="130" customFormat="1" ht="15" customHeight="1"/>
    <row r="131" customFormat="1" ht="15" customHeight="1"/>
    <row r="132" customFormat="1" ht="15" customHeight="1"/>
    <row r="133" customFormat="1" ht="15" customHeight="1"/>
    <row r="134" customFormat="1" ht="15" customHeight="1"/>
    <row r="135" customFormat="1" ht="15" customHeight="1"/>
    <row r="136" customFormat="1" ht="15" customHeight="1"/>
    <row r="137" customFormat="1" ht="15" customHeight="1"/>
    <row r="138" customFormat="1" ht="15" customHeight="1"/>
    <row r="139" customFormat="1" ht="15" customHeight="1"/>
    <row r="140" customFormat="1" ht="15" customHeight="1"/>
    <row r="141" customFormat="1" ht="15" customHeight="1"/>
    <row r="142" customFormat="1" ht="15" customHeight="1"/>
    <row r="143" customFormat="1" ht="15" customHeight="1"/>
    <row r="144" customFormat="1" ht="15" customHeight="1"/>
    <row r="145" customFormat="1" ht="15" customHeight="1"/>
    <row r="146" customFormat="1" ht="15" customHeight="1"/>
    <row r="147" customFormat="1" ht="15" customHeight="1"/>
    <row r="148" customFormat="1" ht="15" customHeight="1"/>
    <row r="149" customFormat="1" ht="15" customHeight="1"/>
    <row r="150" customFormat="1" ht="15" customHeight="1"/>
    <row r="151" customFormat="1" ht="15" customHeight="1"/>
    <row r="152" customFormat="1" ht="15" customHeight="1"/>
    <row r="153" customFormat="1" ht="15" customHeight="1"/>
    <row r="154" customFormat="1" ht="15" customHeight="1"/>
    <row r="155" customFormat="1" ht="15" customHeight="1"/>
    <row r="156" customFormat="1" ht="15" customHeight="1"/>
    <row r="157" customFormat="1" ht="15" customHeight="1"/>
    <row r="158" customFormat="1" ht="15" customHeight="1"/>
    <row r="159" customFormat="1" ht="15" customHeight="1"/>
    <row r="160" customFormat="1" ht="15" customHeight="1"/>
    <row r="161" customFormat="1" ht="15" customHeight="1"/>
    <row r="162" customFormat="1" ht="15" customHeight="1"/>
    <row r="163" customFormat="1" ht="15" customHeight="1"/>
    <row r="164" customFormat="1" ht="15" customHeight="1"/>
    <row r="165" customFormat="1" ht="15" customHeight="1"/>
    <row r="166" customFormat="1" ht="15" customHeight="1"/>
    <row r="167" customFormat="1" ht="15" customHeight="1"/>
    <row r="168" customFormat="1" ht="15" customHeight="1"/>
    <row r="169" customFormat="1" ht="15" customHeight="1"/>
    <row r="170" customFormat="1" ht="15" customHeight="1"/>
    <row r="171" customFormat="1" ht="15" customHeight="1"/>
    <row r="172" customFormat="1" ht="15" customHeight="1"/>
    <row r="173" customFormat="1" ht="15" customHeight="1"/>
    <row r="174" customFormat="1" ht="15" customHeight="1"/>
    <row r="175" customFormat="1" ht="15" customHeight="1"/>
    <row r="176" customFormat="1" ht="15" customHeight="1"/>
    <row r="177" customFormat="1" ht="15" customHeight="1"/>
    <row r="178" customFormat="1" ht="15" customHeight="1"/>
    <row r="179" customFormat="1" ht="15" customHeight="1"/>
    <row r="180" customFormat="1" ht="15" customHeight="1"/>
    <row r="181" customFormat="1" ht="15" customHeight="1"/>
    <row r="182" customFormat="1" ht="15" customHeight="1"/>
    <row r="183" customFormat="1" ht="15" customHeight="1"/>
    <row r="184" customFormat="1" ht="15" customHeight="1"/>
    <row r="185" customFormat="1" ht="15" customHeight="1"/>
    <row r="186" customFormat="1" ht="15" customHeight="1"/>
    <row r="187" customFormat="1" ht="15" customHeight="1"/>
    <row r="188" customFormat="1" ht="15" customHeight="1"/>
    <row r="189" customFormat="1" ht="15" customHeight="1"/>
    <row r="190" customFormat="1" ht="15" customHeight="1"/>
    <row r="191" customFormat="1" ht="15" customHeight="1"/>
    <row r="192" customFormat="1" ht="15" customHeight="1"/>
    <row r="193" customFormat="1" ht="15" customHeight="1"/>
    <row r="194" customFormat="1" ht="15" customHeight="1"/>
    <row r="195" customFormat="1" ht="15" customHeight="1"/>
    <row r="196" customFormat="1" ht="15" customHeight="1"/>
    <row r="197" customFormat="1" ht="15" customHeight="1"/>
    <row r="198" customFormat="1" ht="15" customHeight="1"/>
    <row r="199" customFormat="1" ht="15" customHeight="1"/>
    <row r="200" customFormat="1" ht="15" customHeight="1"/>
    <row r="201" customFormat="1" ht="15" customHeight="1"/>
    <row r="202" customFormat="1" ht="15" customHeight="1"/>
    <row r="203" customFormat="1" ht="15" customHeight="1"/>
    <row r="204" customFormat="1" ht="15" customHeight="1"/>
    <row r="205" customFormat="1" ht="15" customHeight="1"/>
    <row r="206" customFormat="1" ht="15" customHeight="1"/>
    <row r="207" customFormat="1" ht="15" customHeight="1"/>
    <row r="208" customFormat="1" ht="15" customHeight="1"/>
    <row r="209" customFormat="1" ht="15" customHeight="1"/>
    <row r="210" customFormat="1" ht="15" customHeight="1"/>
    <row r="211" customFormat="1" ht="15" customHeight="1"/>
    <row r="212" customFormat="1" ht="15" customHeight="1"/>
    <row r="213" customFormat="1" ht="15" customHeight="1"/>
    <row r="214" customFormat="1" ht="15" customHeight="1"/>
    <row r="215" customFormat="1" ht="15" customHeight="1"/>
    <row r="216" customFormat="1" ht="15" customHeight="1"/>
    <row r="217" customFormat="1" ht="15" customHeight="1"/>
    <row r="218" customFormat="1" ht="15" customHeight="1"/>
    <row r="219" customFormat="1" ht="15" customHeight="1"/>
    <row r="220" customFormat="1" ht="15" customHeight="1"/>
    <row r="221" customFormat="1" ht="15" customHeight="1"/>
    <row r="222" customFormat="1" ht="15" customHeight="1"/>
    <row r="223" customFormat="1" ht="15" customHeight="1"/>
    <row r="224" customFormat="1" ht="15" customHeight="1"/>
    <row r="225" customFormat="1" ht="15" customHeight="1"/>
    <row r="226" customFormat="1" ht="15" customHeight="1"/>
    <row r="227" customFormat="1" ht="15" customHeight="1"/>
    <row r="228" customFormat="1" ht="15" customHeight="1"/>
    <row r="229" customFormat="1" ht="15" customHeight="1"/>
    <row r="230" customFormat="1" ht="15" customHeight="1"/>
    <row r="231" customFormat="1" ht="15" customHeight="1"/>
    <row r="232" customFormat="1" ht="15" customHeight="1"/>
    <row r="233" customFormat="1" ht="15" customHeight="1"/>
    <row r="234" customFormat="1" ht="15" customHeight="1"/>
    <row r="235" customFormat="1" ht="15" customHeight="1"/>
    <row r="236" customFormat="1" ht="15" customHeight="1"/>
    <row r="237" customFormat="1" ht="15" customHeight="1"/>
    <row r="238" customFormat="1" ht="15" customHeight="1"/>
    <row r="239" customFormat="1" ht="15" customHeight="1"/>
    <row r="240" customFormat="1" ht="15" customHeight="1"/>
    <row r="241" customFormat="1" ht="15" customHeight="1"/>
  </sheetData>
  <mergeCells count="8">
    <mergeCell ref="H3:H9"/>
    <mergeCell ref="H10:H14"/>
    <mergeCell ref="H15:H23"/>
    <mergeCell ref="H24:H29"/>
    <mergeCell ref="I3:I9"/>
    <mergeCell ref="I10:I14"/>
    <mergeCell ref="I15:I23"/>
    <mergeCell ref="I24:I2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DEC0799-8959-47FA-9571-C9C2BD03DF8A}">
          <x14:formula1>
            <xm:f>'Execution Status'!$A$1:$A$8</xm:f>
          </x14:formula1>
          <xm:sqref>D3:D29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C068B-F223-4A85-B117-A4A4E2994F6E}">
  <sheetPr>
    <tabColor rgb="FFEBAECA"/>
  </sheetPr>
  <dimension ref="A1:Y325"/>
  <sheetViews>
    <sheetView workbookViewId="0">
      <pane ySplit="2" topLeftCell="A15" activePane="bottomLeft" state="frozen"/>
      <selection pane="bottomLeft" activeCell="I35" sqref="I35:I39"/>
    </sheetView>
  </sheetViews>
  <sheetFormatPr defaultRowHeight="15"/>
  <cols>
    <col min="2" max="2" width="27.28515625" customWidth="1"/>
    <col min="3" max="3" width="33.140625" customWidth="1"/>
    <col min="4" max="4" width="16.140625" customWidth="1"/>
    <col min="5" max="5" width="20.85546875" customWidth="1"/>
    <col min="6" max="6" width="13.5703125" customWidth="1"/>
    <col min="7" max="7" width="21.140625" customWidth="1"/>
    <col min="8" max="8" width="17.7109375" customWidth="1"/>
    <col min="9" max="9" width="20.42578125" style="16" customWidth="1"/>
    <col min="10" max="10" width="19.42578125" style="16" customWidth="1"/>
    <col min="11" max="11" width="26" customWidth="1"/>
    <col min="12" max="21" width="19.7109375" style="133" customWidth="1"/>
    <col min="22" max="22" width="133.7109375" style="133" bestFit="1" customWidth="1"/>
    <col min="23" max="23" width="19.7109375" style="133" customWidth="1"/>
  </cols>
  <sheetData>
    <row r="1" spans="2:23">
      <c r="L1" s="577" t="s">
        <v>75</v>
      </c>
      <c r="M1" s="577"/>
      <c r="N1" s="577"/>
      <c r="O1" s="577"/>
      <c r="P1" s="406" t="s">
        <v>76</v>
      </c>
      <c r="Q1" s="406"/>
      <c r="R1" s="406"/>
      <c r="S1" s="406"/>
      <c r="T1" s="409" t="s">
        <v>77</v>
      </c>
      <c r="U1" s="409"/>
    </row>
    <row r="2" spans="2:23" ht="63.75" customHeight="1">
      <c r="B2" s="323" t="s">
        <v>78</v>
      </c>
      <c r="C2" s="323" t="s">
        <v>79</v>
      </c>
      <c r="D2" s="323" t="s">
        <v>192</v>
      </c>
      <c r="E2" s="323" t="s">
        <v>372</v>
      </c>
      <c r="F2" s="323" t="s">
        <v>734</v>
      </c>
      <c r="G2" s="324" t="s">
        <v>84</v>
      </c>
      <c r="H2" s="324" t="s">
        <v>85</v>
      </c>
      <c r="I2" s="323" t="s">
        <v>86</v>
      </c>
      <c r="J2" s="323" t="s">
        <v>735</v>
      </c>
      <c r="K2" s="323" t="s">
        <v>736</v>
      </c>
      <c r="L2" s="324" t="s">
        <v>88</v>
      </c>
      <c r="M2" s="116" t="s">
        <v>89</v>
      </c>
      <c r="N2" s="116" t="s">
        <v>82</v>
      </c>
      <c r="O2" s="116" t="s">
        <v>83</v>
      </c>
      <c r="P2" s="324" t="s">
        <v>90</v>
      </c>
      <c r="Q2" s="116" t="s">
        <v>89</v>
      </c>
      <c r="R2" s="116" t="s">
        <v>82</v>
      </c>
      <c r="S2" s="116" t="s">
        <v>83</v>
      </c>
      <c r="T2" s="116" t="s">
        <v>82</v>
      </c>
      <c r="U2" s="116" t="s">
        <v>83</v>
      </c>
      <c r="V2" s="182" t="s">
        <v>91</v>
      </c>
      <c r="W2" s="116" t="s">
        <v>92</v>
      </c>
    </row>
    <row r="3" spans="2:23" ht="15" customHeight="1">
      <c r="B3" s="636" t="s">
        <v>737</v>
      </c>
      <c r="C3" s="165" t="s">
        <v>738</v>
      </c>
      <c r="D3" s="3"/>
      <c r="E3" s="3"/>
      <c r="F3" s="3"/>
      <c r="G3" s="166"/>
      <c r="H3" s="126"/>
      <c r="I3" s="638" t="s">
        <v>69</v>
      </c>
      <c r="J3" s="637" t="s">
        <v>739</v>
      </c>
      <c r="K3" s="379"/>
      <c r="L3" s="631" t="s">
        <v>58</v>
      </c>
      <c r="M3" s="380"/>
      <c r="N3" s="631" t="s">
        <v>740</v>
      </c>
      <c r="O3" s="40" t="s">
        <v>741</v>
      </c>
      <c r="P3" s="643" t="s">
        <v>58</v>
      </c>
      <c r="Q3" s="380"/>
      <c r="R3" s="631" t="s">
        <v>740</v>
      </c>
      <c r="S3" s="631" t="s">
        <v>741</v>
      </c>
      <c r="T3" s="631" t="s">
        <v>383</v>
      </c>
      <c r="U3" s="631" t="s">
        <v>742</v>
      </c>
      <c r="V3" s="326"/>
      <c r="W3" s="631" t="s">
        <v>743</v>
      </c>
    </row>
    <row r="4" spans="2:23" ht="15.75" customHeight="1">
      <c r="B4" s="636"/>
      <c r="C4" s="167" t="s">
        <v>744</v>
      </c>
      <c r="D4" s="133">
        <v>3474</v>
      </c>
      <c r="E4" s="171">
        <v>0.2</v>
      </c>
      <c r="F4" s="172">
        <v>0.22</v>
      </c>
      <c r="G4" s="166">
        <v>45754</v>
      </c>
      <c r="H4" s="126" t="s">
        <v>98</v>
      </c>
      <c r="I4" s="638"/>
      <c r="J4" s="637"/>
      <c r="K4" s="379"/>
      <c r="L4" s="631"/>
      <c r="M4" s="632">
        <v>2072</v>
      </c>
      <c r="N4" s="631"/>
      <c r="O4" s="40"/>
      <c r="P4" s="643"/>
      <c r="Q4" s="640" t="s">
        <v>745</v>
      </c>
      <c r="R4" s="631"/>
      <c r="S4" s="631"/>
      <c r="T4" s="631"/>
      <c r="U4" s="631"/>
      <c r="V4" s="327"/>
      <c r="W4" s="631"/>
    </row>
    <row r="5" spans="2:23" ht="15.75" customHeight="1">
      <c r="B5" s="636"/>
      <c r="C5" s="165" t="s">
        <v>746</v>
      </c>
      <c r="D5" s="133">
        <v>3474</v>
      </c>
      <c r="E5" s="171">
        <v>2.4700000000000002</v>
      </c>
      <c r="F5" s="172">
        <v>3.01</v>
      </c>
      <c r="G5" s="166">
        <v>45754</v>
      </c>
      <c r="H5" s="126" t="s">
        <v>98</v>
      </c>
      <c r="I5" s="638"/>
      <c r="J5" s="637"/>
      <c r="K5" s="379"/>
      <c r="L5" s="631"/>
      <c r="M5" s="632"/>
      <c r="N5" s="631"/>
      <c r="O5" s="40"/>
      <c r="P5" s="643"/>
      <c r="Q5" s="640"/>
      <c r="R5" s="631"/>
      <c r="S5" s="631"/>
      <c r="T5" s="631"/>
      <c r="U5" s="631"/>
      <c r="V5" s="327"/>
      <c r="W5" s="631"/>
    </row>
    <row r="6" spans="2:23" ht="15.75" customHeight="1">
      <c r="B6" s="636"/>
      <c r="C6" s="165" t="s">
        <v>747</v>
      </c>
      <c r="D6" s="133">
        <v>3446</v>
      </c>
      <c r="E6" s="171">
        <v>0.81</v>
      </c>
      <c r="F6" s="172">
        <v>0.97</v>
      </c>
      <c r="G6" s="166">
        <v>45754</v>
      </c>
      <c r="H6" s="126" t="s">
        <v>98</v>
      </c>
      <c r="I6" s="638"/>
      <c r="J6" s="637"/>
      <c r="K6" s="379"/>
      <c r="L6" s="631"/>
      <c r="M6" s="632"/>
      <c r="N6" s="631"/>
      <c r="O6" s="40"/>
      <c r="P6" s="643"/>
      <c r="Q6" s="640"/>
      <c r="R6" s="631"/>
      <c r="S6" s="631"/>
      <c r="T6" s="631"/>
      <c r="U6" s="631"/>
      <c r="V6" s="326"/>
      <c r="W6" s="631"/>
    </row>
    <row r="7" spans="2:23" ht="15.75" customHeight="1">
      <c r="B7" s="636"/>
      <c r="C7" s="165" t="s">
        <v>748</v>
      </c>
      <c r="D7" s="133">
        <v>3440</v>
      </c>
      <c r="E7" s="171">
        <v>0.99</v>
      </c>
      <c r="F7" s="172">
        <v>1.1599999999999999</v>
      </c>
      <c r="G7" s="166">
        <v>45754</v>
      </c>
      <c r="H7" s="126" t="s">
        <v>98</v>
      </c>
      <c r="I7" s="638"/>
      <c r="J7" s="637"/>
      <c r="K7" s="379"/>
      <c r="L7" s="631"/>
      <c r="M7" s="632"/>
      <c r="N7" s="631"/>
      <c r="O7" s="40"/>
      <c r="P7" s="643"/>
      <c r="Q7" s="640"/>
      <c r="R7" s="631"/>
      <c r="S7" s="631"/>
      <c r="T7" s="631"/>
      <c r="U7" s="631"/>
      <c r="V7" s="328"/>
      <c r="W7" s="631"/>
    </row>
    <row r="8" spans="2:23" ht="15.75" customHeight="1">
      <c r="B8" s="636" t="s">
        <v>654</v>
      </c>
      <c r="C8" s="168" t="s">
        <v>749</v>
      </c>
      <c r="D8" s="133">
        <v>400</v>
      </c>
      <c r="E8" s="171">
        <v>1.45</v>
      </c>
      <c r="F8" s="172">
        <v>1.95</v>
      </c>
      <c r="G8" s="166">
        <v>45755</v>
      </c>
      <c r="H8" s="126" t="s">
        <v>98</v>
      </c>
      <c r="I8" s="638" t="s">
        <v>69</v>
      </c>
      <c r="J8" s="637" t="s">
        <v>654</v>
      </c>
      <c r="K8" s="379"/>
      <c r="L8" s="631"/>
      <c r="M8" s="631">
        <v>181</v>
      </c>
      <c r="N8" s="631"/>
      <c r="O8" s="40"/>
      <c r="P8" s="643"/>
      <c r="Q8" s="640" t="s">
        <v>750</v>
      </c>
      <c r="R8" s="631"/>
      <c r="S8" s="631"/>
      <c r="T8" s="631"/>
      <c r="U8" s="631"/>
      <c r="V8" s="328"/>
      <c r="W8" s="631"/>
    </row>
    <row r="9" spans="2:23" ht="15.75" customHeight="1">
      <c r="B9" s="636"/>
      <c r="C9" s="168" t="s">
        <v>751</v>
      </c>
      <c r="D9" s="133">
        <v>400</v>
      </c>
      <c r="E9" s="171">
        <v>1.18</v>
      </c>
      <c r="F9" s="172">
        <v>1.78</v>
      </c>
      <c r="G9" s="166">
        <v>45755</v>
      </c>
      <c r="H9" s="126" t="s">
        <v>98</v>
      </c>
      <c r="I9" s="638"/>
      <c r="J9" s="637"/>
      <c r="K9" s="379"/>
      <c r="L9" s="631"/>
      <c r="M9" s="631"/>
      <c r="N9" s="631"/>
      <c r="O9" s="40"/>
      <c r="P9" s="643"/>
      <c r="Q9" s="640"/>
      <c r="R9" s="631"/>
      <c r="S9" s="631"/>
      <c r="T9" s="631"/>
      <c r="U9" s="631"/>
      <c r="V9" s="328"/>
      <c r="W9" s="631"/>
    </row>
    <row r="10" spans="2:23" ht="15.75" customHeight="1">
      <c r="B10" s="636"/>
      <c r="C10" s="168" t="s">
        <v>752</v>
      </c>
      <c r="D10" s="133">
        <v>400</v>
      </c>
      <c r="E10" s="171">
        <v>0.3</v>
      </c>
      <c r="F10" s="172">
        <v>0.56000000000000005</v>
      </c>
      <c r="G10" s="166">
        <v>45755</v>
      </c>
      <c r="H10" s="126" t="s">
        <v>98</v>
      </c>
      <c r="I10" s="638"/>
      <c r="J10" s="637"/>
      <c r="K10" s="379"/>
      <c r="L10" s="631"/>
      <c r="M10" s="631"/>
      <c r="N10" s="631"/>
      <c r="O10" s="40"/>
      <c r="P10" s="643"/>
      <c r="Q10" s="640"/>
      <c r="R10" s="631"/>
      <c r="S10" s="631"/>
      <c r="T10" s="631"/>
      <c r="U10" s="631"/>
      <c r="V10" s="328"/>
      <c r="W10" s="631"/>
    </row>
    <row r="11" spans="2:23" ht="15.75" customHeight="1">
      <c r="B11" s="623" t="s">
        <v>753</v>
      </c>
      <c r="C11" s="3" t="s">
        <v>486</v>
      </c>
      <c r="D11" s="133">
        <v>3346</v>
      </c>
      <c r="E11" s="171">
        <v>2.69</v>
      </c>
      <c r="F11" s="169">
        <v>4.38</v>
      </c>
      <c r="G11" s="166">
        <v>45755</v>
      </c>
      <c r="H11" s="325" t="s">
        <v>98</v>
      </c>
      <c r="I11" s="632" t="s">
        <v>754</v>
      </c>
      <c r="J11" s="633" t="s">
        <v>755</v>
      </c>
      <c r="K11" s="379"/>
      <c r="L11" s="631"/>
      <c r="M11" s="631" t="s">
        <v>58</v>
      </c>
      <c r="N11" s="631"/>
      <c r="O11" s="40"/>
      <c r="P11" s="643"/>
      <c r="Q11" s="635" t="s">
        <v>58</v>
      </c>
      <c r="R11" s="631"/>
      <c r="S11" s="631"/>
      <c r="T11" s="631"/>
      <c r="U11" s="631"/>
      <c r="V11" s="329" t="s">
        <v>756</v>
      </c>
      <c r="W11" s="631"/>
    </row>
    <row r="12" spans="2:23" ht="15.75" customHeight="1">
      <c r="B12" s="623"/>
      <c r="C12" s="3" t="s">
        <v>487</v>
      </c>
      <c r="D12" s="133">
        <v>3379</v>
      </c>
      <c r="E12" s="171">
        <v>1.55</v>
      </c>
      <c r="F12" s="172">
        <v>1.05</v>
      </c>
      <c r="G12" s="166">
        <v>45755</v>
      </c>
      <c r="H12" s="325" t="s">
        <v>98</v>
      </c>
      <c r="I12" s="632"/>
      <c r="J12" s="633"/>
      <c r="K12" s="379"/>
      <c r="L12" s="631"/>
      <c r="M12" s="631"/>
      <c r="N12" s="631"/>
      <c r="O12" s="40"/>
      <c r="P12" s="643"/>
      <c r="Q12" s="635"/>
      <c r="R12" s="631"/>
      <c r="S12" s="631"/>
      <c r="T12" s="631"/>
      <c r="U12" s="631"/>
      <c r="V12" s="328"/>
      <c r="W12" s="631"/>
    </row>
    <row r="13" spans="2:23" ht="15.75" customHeight="1">
      <c r="B13" s="623"/>
      <c r="C13" s="3" t="s">
        <v>757</v>
      </c>
      <c r="D13" s="133">
        <v>3374</v>
      </c>
      <c r="E13" s="171">
        <v>0.13</v>
      </c>
      <c r="F13" s="172">
        <v>0.17</v>
      </c>
      <c r="G13" s="166">
        <v>45755</v>
      </c>
      <c r="H13" s="325" t="s">
        <v>98</v>
      </c>
      <c r="I13" s="632"/>
      <c r="J13" s="633"/>
      <c r="K13" s="379"/>
      <c r="L13" s="631"/>
      <c r="M13" s="631"/>
      <c r="N13" s="631"/>
      <c r="O13" s="40"/>
      <c r="P13" s="643"/>
      <c r="Q13" s="635"/>
      <c r="R13" s="631"/>
      <c r="S13" s="631"/>
      <c r="T13" s="631"/>
      <c r="U13" s="631"/>
      <c r="V13" s="328"/>
      <c r="W13" s="631"/>
    </row>
    <row r="14" spans="2:23" ht="15.75" customHeight="1">
      <c r="B14" s="623" t="s">
        <v>758</v>
      </c>
      <c r="C14" s="6" t="s">
        <v>759</v>
      </c>
      <c r="D14" s="133">
        <v>3000</v>
      </c>
      <c r="E14" s="172">
        <v>0.68</v>
      </c>
      <c r="F14" s="172">
        <v>1.03</v>
      </c>
      <c r="G14" s="161">
        <v>45763</v>
      </c>
      <c r="H14" s="325" t="s">
        <v>98</v>
      </c>
      <c r="I14" s="631" t="s">
        <v>760</v>
      </c>
      <c r="J14" s="637" t="s">
        <v>761</v>
      </c>
      <c r="K14" s="379"/>
      <c r="L14" s="631"/>
      <c r="M14" s="631">
        <v>140</v>
      </c>
      <c r="N14" s="631"/>
      <c r="O14" s="40"/>
      <c r="P14" s="643"/>
      <c r="Q14" s="635">
        <v>40</v>
      </c>
      <c r="R14" s="631"/>
      <c r="S14" s="631"/>
      <c r="T14" s="631"/>
      <c r="U14" s="631"/>
      <c r="V14" s="328"/>
      <c r="W14" s="631"/>
    </row>
    <row r="15" spans="2:23" ht="15.75" customHeight="1">
      <c r="B15" s="623"/>
      <c r="C15" s="6" t="s">
        <v>762</v>
      </c>
      <c r="D15" s="133">
        <v>1000</v>
      </c>
      <c r="E15" s="172">
        <v>0.24</v>
      </c>
      <c r="F15" s="172">
        <v>0.32</v>
      </c>
      <c r="G15" s="161">
        <v>45763</v>
      </c>
      <c r="H15" s="325" t="s">
        <v>98</v>
      </c>
      <c r="I15" s="631"/>
      <c r="J15" s="637"/>
      <c r="K15" s="379"/>
      <c r="L15" s="631"/>
      <c r="M15" s="631"/>
      <c r="N15" s="631"/>
      <c r="O15" s="40"/>
      <c r="P15" s="643"/>
      <c r="Q15" s="635"/>
      <c r="R15" s="631"/>
      <c r="S15" s="631"/>
      <c r="T15" s="631"/>
      <c r="U15" s="631"/>
      <c r="V15" s="328"/>
      <c r="W15" s="631"/>
    </row>
    <row r="16" spans="2:23" ht="15.75" customHeight="1">
      <c r="B16" s="623"/>
      <c r="C16" s="170" t="s">
        <v>763</v>
      </c>
      <c r="D16" s="133">
        <v>1000</v>
      </c>
      <c r="E16" s="172">
        <v>0.83</v>
      </c>
      <c r="F16" s="172">
        <v>0.95</v>
      </c>
      <c r="G16" s="161">
        <v>45763</v>
      </c>
      <c r="H16" s="325" t="s">
        <v>98</v>
      </c>
      <c r="I16" s="631"/>
      <c r="J16" s="637"/>
      <c r="K16" s="379"/>
      <c r="L16" s="631"/>
      <c r="M16" s="631"/>
      <c r="N16" s="631"/>
      <c r="O16" s="40"/>
      <c r="P16" s="643"/>
      <c r="Q16" s="635"/>
      <c r="R16" s="631"/>
      <c r="S16" s="631"/>
      <c r="T16" s="631"/>
      <c r="U16" s="631"/>
      <c r="V16" s="328"/>
      <c r="W16" s="631"/>
    </row>
    <row r="17" spans="2:23" ht="15.75" customHeight="1">
      <c r="B17" s="623"/>
      <c r="C17" s="3" t="s">
        <v>764</v>
      </c>
      <c r="D17" s="133">
        <v>1000</v>
      </c>
      <c r="E17" s="172">
        <v>0.24</v>
      </c>
      <c r="F17" s="172">
        <v>0.32</v>
      </c>
      <c r="G17" s="161">
        <v>45763</v>
      </c>
      <c r="H17" s="325" t="s">
        <v>98</v>
      </c>
      <c r="I17" s="631"/>
      <c r="J17" s="637"/>
      <c r="K17" s="379"/>
      <c r="L17" s="631"/>
      <c r="M17" s="631"/>
      <c r="N17" s="631"/>
      <c r="O17" s="40"/>
      <c r="P17" s="643"/>
      <c r="Q17" s="635"/>
      <c r="R17" s="631"/>
      <c r="S17" s="631"/>
      <c r="T17" s="631"/>
      <c r="U17" s="631"/>
      <c r="V17" s="328"/>
      <c r="W17" s="631"/>
    </row>
    <row r="18" spans="2:23" ht="15.75" customHeight="1">
      <c r="B18" s="623"/>
      <c r="C18" s="3" t="s">
        <v>765</v>
      </c>
      <c r="D18" s="133">
        <v>1000</v>
      </c>
      <c r="E18" s="172">
        <v>0.83</v>
      </c>
      <c r="F18" s="172">
        <v>0.95</v>
      </c>
      <c r="G18" s="161">
        <v>45763</v>
      </c>
      <c r="H18" s="325" t="s">
        <v>98</v>
      </c>
      <c r="I18" s="631"/>
      <c r="J18" s="637"/>
      <c r="K18" s="379"/>
      <c r="L18" s="631"/>
      <c r="M18" s="631"/>
      <c r="N18" s="631"/>
      <c r="O18" s="40"/>
      <c r="P18" s="643"/>
      <c r="Q18" s="635"/>
      <c r="R18" s="631"/>
      <c r="S18" s="631"/>
      <c r="T18" s="631"/>
      <c r="U18" s="631"/>
      <c r="V18" s="328"/>
      <c r="W18" s="631"/>
    </row>
    <row r="19" spans="2:23" ht="30.75" customHeight="1">
      <c r="B19" s="623"/>
      <c r="C19" s="6" t="s">
        <v>766</v>
      </c>
      <c r="D19" s="133">
        <v>1000</v>
      </c>
      <c r="E19" s="172">
        <v>0.23</v>
      </c>
      <c r="F19" s="172">
        <v>0.31</v>
      </c>
      <c r="G19" s="161">
        <v>45763</v>
      </c>
      <c r="H19" s="325" t="s">
        <v>98</v>
      </c>
      <c r="I19" s="631"/>
      <c r="J19" s="637"/>
      <c r="K19" s="379"/>
      <c r="L19" s="631"/>
      <c r="M19" s="631"/>
      <c r="N19" s="631"/>
      <c r="O19" s="40"/>
      <c r="P19" s="643"/>
      <c r="Q19" s="635"/>
      <c r="R19" s="631"/>
      <c r="S19" s="631"/>
      <c r="T19" s="631"/>
      <c r="U19" s="631"/>
      <c r="V19" s="328"/>
      <c r="W19" s="631"/>
    </row>
    <row r="20" spans="2:23" ht="15.75" customHeight="1">
      <c r="B20" s="623"/>
      <c r="C20" s="6" t="s">
        <v>767</v>
      </c>
      <c r="D20" s="133">
        <v>1000</v>
      </c>
      <c r="E20" s="172">
        <v>0.82</v>
      </c>
      <c r="F20" s="172">
        <v>0.91</v>
      </c>
      <c r="G20" s="161">
        <v>45763</v>
      </c>
      <c r="H20" s="325" t="s">
        <v>98</v>
      </c>
      <c r="I20" s="631"/>
      <c r="J20" s="637"/>
      <c r="K20" s="379"/>
      <c r="L20" s="631"/>
      <c r="M20" s="631"/>
      <c r="N20" s="631"/>
      <c r="O20" s="40"/>
      <c r="P20" s="643"/>
      <c r="Q20" s="635"/>
      <c r="R20" s="631"/>
      <c r="S20" s="631"/>
      <c r="T20" s="631"/>
      <c r="U20" s="631"/>
      <c r="V20" s="328"/>
      <c r="W20" s="631"/>
    </row>
    <row r="21" spans="2:23" ht="15.75" customHeight="1">
      <c r="B21" s="623"/>
      <c r="C21" s="6" t="s">
        <v>768</v>
      </c>
      <c r="D21" s="133">
        <v>1000</v>
      </c>
      <c r="E21" s="172">
        <v>0.24</v>
      </c>
      <c r="F21" s="172">
        <v>0.3</v>
      </c>
      <c r="G21" s="161">
        <v>45763</v>
      </c>
      <c r="H21" s="325" t="s">
        <v>98</v>
      </c>
      <c r="I21" s="631"/>
      <c r="J21" s="637"/>
      <c r="K21" s="379"/>
      <c r="L21" s="631"/>
      <c r="M21" s="631"/>
      <c r="N21" s="631"/>
      <c r="O21" s="40"/>
      <c r="P21" s="643"/>
      <c r="Q21" s="635"/>
      <c r="R21" s="631"/>
      <c r="S21" s="631"/>
      <c r="T21" s="631"/>
      <c r="U21" s="631"/>
      <c r="V21" s="328"/>
      <c r="W21" s="631"/>
    </row>
    <row r="22" spans="2:23" ht="15.75" customHeight="1">
      <c r="B22" s="623"/>
      <c r="C22" s="6" t="s">
        <v>769</v>
      </c>
      <c r="D22" s="133">
        <v>1000</v>
      </c>
      <c r="E22" s="172">
        <v>0.81</v>
      </c>
      <c r="F22" s="172">
        <v>0.93</v>
      </c>
      <c r="G22" s="161">
        <v>45763</v>
      </c>
      <c r="H22" s="325" t="s">
        <v>98</v>
      </c>
      <c r="I22" s="631"/>
      <c r="J22" s="637"/>
      <c r="K22" s="379"/>
      <c r="L22" s="631"/>
      <c r="M22" s="631"/>
      <c r="N22" s="631"/>
      <c r="O22" s="40"/>
      <c r="P22" s="643"/>
      <c r="Q22" s="635"/>
      <c r="R22" s="631"/>
      <c r="S22" s="631"/>
      <c r="T22" s="631"/>
      <c r="U22" s="631"/>
      <c r="V22" s="328"/>
      <c r="W22" s="631"/>
    </row>
    <row r="23" spans="2:23" ht="15.75" customHeight="1">
      <c r="B23" s="623"/>
      <c r="C23" s="3" t="s">
        <v>770</v>
      </c>
      <c r="D23" s="133">
        <v>3000</v>
      </c>
      <c r="E23" s="172">
        <v>0.76</v>
      </c>
      <c r="F23" s="172">
        <v>0.82</v>
      </c>
      <c r="G23" s="161">
        <v>45763</v>
      </c>
      <c r="H23" s="325" t="s">
        <v>98</v>
      </c>
      <c r="I23" s="631"/>
      <c r="J23" s="633" t="s">
        <v>461</v>
      </c>
      <c r="K23" s="379"/>
      <c r="L23" s="631"/>
      <c r="M23" s="631">
        <v>140</v>
      </c>
      <c r="N23" s="631"/>
      <c r="O23" s="40"/>
      <c r="P23" s="643"/>
      <c r="Q23" s="634">
        <v>40</v>
      </c>
      <c r="R23" s="631"/>
      <c r="S23" s="631"/>
      <c r="T23" s="631"/>
      <c r="U23" s="631"/>
      <c r="V23" s="328"/>
      <c r="W23" s="631"/>
    </row>
    <row r="24" spans="2:23" ht="15.75" customHeight="1">
      <c r="B24" s="623"/>
      <c r="C24" s="3" t="s">
        <v>771</v>
      </c>
      <c r="D24" s="133">
        <v>3000</v>
      </c>
      <c r="E24" s="172">
        <v>0.15</v>
      </c>
      <c r="F24" s="172">
        <v>0.16</v>
      </c>
      <c r="G24" s="161">
        <v>45763</v>
      </c>
      <c r="H24" s="325" t="s">
        <v>98</v>
      </c>
      <c r="I24" s="631"/>
      <c r="J24" s="633"/>
      <c r="K24" s="379"/>
      <c r="L24" s="631"/>
      <c r="M24" s="631"/>
      <c r="N24" s="631"/>
      <c r="O24" s="40"/>
      <c r="P24" s="643"/>
      <c r="Q24" s="634"/>
      <c r="R24" s="631"/>
      <c r="S24" s="631"/>
      <c r="T24" s="631"/>
      <c r="U24" s="631"/>
      <c r="V24" s="328"/>
      <c r="W24" s="631"/>
    </row>
    <row r="25" spans="2:23" ht="15.75" customHeight="1">
      <c r="B25" s="623"/>
      <c r="C25" s="3" t="s">
        <v>772</v>
      </c>
      <c r="D25" s="133">
        <v>3000</v>
      </c>
      <c r="E25" s="172">
        <v>0.28999999999999998</v>
      </c>
      <c r="F25" s="172">
        <v>0.36</v>
      </c>
      <c r="G25" s="161">
        <v>45763</v>
      </c>
      <c r="H25" s="325" t="s">
        <v>98</v>
      </c>
      <c r="I25" s="631"/>
      <c r="J25" s="633"/>
      <c r="K25" s="379"/>
      <c r="L25" s="631"/>
      <c r="M25" s="631"/>
      <c r="N25" s="631"/>
      <c r="O25" s="40"/>
      <c r="P25" s="643"/>
      <c r="Q25" s="634"/>
      <c r="R25" s="631"/>
      <c r="S25" s="631"/>
      <c r="T25" s="631"/>
      <c r="U25" s="631"/>
      <c r="V25" s="393"/>
      <c r="W25" s="631"/>
    </row>
    <row r="26" spans="2:23" ht="15.75" customHeight="1">
      <c r="B26" s="623"/>
      <c r="C26" s="3" t="s">
        <v>773</v>
      </c>
      <c r="D26" s="133">
        <v>2994</v>
      </c>
      <c r="E26" s="172">
        <v>7.0000000000000007E-2</v>
      </c>
      <c r="F26" s="172">
        <v>0.08</v>
      </c>
      <c r="G26" s="161">
        <v>45763</v>
      </c>
      <c r="H26" s="325" t="s">
        <v>98</v>
      </c>
      <c r="I26" s="631"/>
      <c r="J26" s="633"/>
      <c r="K26" s="379"/>
      <c r="L26" s="631"/>
      <c r="M26" s="631"/>
      <c r="N26" s="631"/>
      <c r="O26" s="40"/>
      <c r="P26" s="643"/>
      <c r="Q26" s="634"/>
      <c r="R26" s="631"/>
      <c r="S26" s="631"/>
      <c r="T26" s="631"/>
      <c r="U26" s="631"/>
      <c r="V26" s="401"/>
      <c r="W26" s="631"/>
    </row>
    <row r="27" spans="2:23" ht="15.75" customHeight="1">
      <c r="B27" s="623"/>
      <c r="C27" s="3" t="s">
        <v>774</v>
      </c>
      <c r="D27" s="133">
        <v>2994</v>
      </c>
      <c r="E27" s="172">
        <v>0.13</v>
      </c>
      <c r="F27" s="172">
        <v>0.14000000000000001</v>
      </c>
      <c r="G27" s="161">
        <v>45763</v>
      </c>
      <c r="H27" s="325" t="s">
        <v>98</v>
      </c>
      <c r="I27" s="631"/>
      <c r="J27" s="633"/>
      <c r="K27" s="379"/>
      <c r="L27" s="631"/>
      <c r="M27" s="631"/>
      <c r="N27" s="631"/>
      <c r="O27" s="40"/>
      <c r="P27" s="643"/>
      <c r="Q27" s="634"/>
      <c r="R27" s="631"/>
      <c r="S27" s="631"/>
      <c r="T27" s="631"/>
      <c r="U27" s="631"/>
      <c r="V27" s="401"/>
      <c r="W27" s="631"/>
    </row>
    <row r="28" spans="2:23" ht="15.75" customHeight="1">
      <c r="B28" s="639"/>
      <c r="C28" s="3" t="s">
        <v>775</v>
      </c>
      <c r="D28" s="133">
        <v>2994</v>
      </c>
      <c r="E28" s="172">
        <v>2.71</v>
      </c>
      <c r="F28" s="172">
        <v>2.91</v>
      </c>
      <c r="G28" s="161">
        <v>45763</v>
      </c>
      <c r="H28" s="325" t="s">
        <v>98</v>
      </c>
      <c r="I28" s="631"/>
      <c r="J28" s="633"/>
      <c r="K28" s="379"/>
      <c r="L28" s="631"/>
      <c r="M28" s="631"/>
      <c r="N28" s="631"/>
      <c r="O28" s="40"/>
      <c r="P28" s="643"/>
      <c r="Q28" s="634"/>
      <c r="R28" s="631"/>
      <c r="S28" s="631"/>
      <c r="T28" s="631"/>
      <c r="U28" s="631"/>
      <c r="V28" s="401"/>
      <c r="W28" s="631"/>
    </row>
    <row r="29" spans="2:23" ht="15.75" customHeight="1">
      <c r="B29" s="632" t="s">
        <v>776</v>
      </c>
      <c r="C29" s="321" t="s">
        <v>777</v>
      </c>
      <c r="D29" s="133">
        <v>400</v>
      </c>
      <c r="E29" s="172">
        <v>0.14000000000000001</v>
      </c>
      <c r="F29" s="172">
        <v>0.16</v>
      </c>
      <c r="G29" s="161">
        <v>45847</v>
      </c>
      <c r="H29" s="325" t="s">
        <v>98</v>
      </c>
      <c r="I29" s="632" t="s">
        <v>69</v>
      </c>
      <c r="J29" s="633" t="s">
        <v>776</v>
      </c>
      <c r="K29" s="641"/>
      <c r="L29" s="631" t="s">
        <v>778</v>
      </c>
      <c r="M29" s="631">
        <v>205</v>
      </c>
      <c r="N29" s="631"/>
      <c r="O29" s="40"/>
      <c r="P29" s="643"/>
      <c r="Q29" s="634">
        <v>31</v>
      </c>
      <c r="R29" s="631"/>
      <c r="S29" s="631"/>
      <c r="T29" s="631"/>
      <c r="U29" s="631"/>
      <c r="V29" s="642"/>
      <c r="W29" s="631"/>
    </row>
    <row r="30" spans="2:23" ht="15.75" customHeight="1">
      <c r="B30" s="632"/>
      <c r="C30" s="322" t="s">
        <v>779</v>
      </c>
      <c r="D30" s="133">
        <v>400</v>
      </c>
      <c r="E30" s="172">
        <v>0.83</v>
      </c>
      <c r="F30" s="172">
        <v>0.91</v>
      </c>
      <c r="G30" s="161">
        <v>45847</v>
      </c>
      <c r="H30" s="325" t="s">
        <v>98</v>
      </c>
      <c r="I30" s="632"/>
      <c r="J30" s="633"/>
      <c r="K30" s="641"/>
      <c r="L30" s="631"/>
      <c r="M30" s="631"/>
      <c r="N30" s="631"/>
      <c r="O30" s="40"/>
      <c r="P30" s="643"/>
      <c r="Q30" s="634"/>
      <c r="R30" s="631"/>
      <c r="S30" s="631"/>
      <c r="T30" s="631"/>
      <c r="U30" s="631"/>
      <c r="V30" s="642"/>
      <c r="W30" s="631"/>
    </row>
    <row r="31" spans="2:23" ht="15.75" customHeight="1">
      <c r="B31" s="632"/>
      <c r="C31" s="322" t="s">
        <v>780</v>
      </c>
      <c r="D31" s="133">
        <v>400</v>
      </c>
      <c r="E31" s="172">
        <v>0.77</v>
      </c>
      <c r="F31" s="172">
        <v>0.84</v>
      </c>
      <c r="G31" s="161">
        <v>45847</v>
      </c>
      <c r="H31" s="325" t="s">
        <v>98</v>
      </c>
      <c r="I31" s="632"/>
      <c r="J31" s="633"/>
      <c r="K31" s="641"/>
      <c r="L31" s="631"/>
      <c r="M31" s="631"/>
      <c r="N31" s="631"/>
      <c r="O31" s="40"/>
      <c r="P31" s="643"/>
      <c r="Q31" s="634"/>
      <c r="R31" s="631"/>
      <c r="S31" s="631"/>
      <c r="T31" s="631"/>
      <c r="U31" s="631"/>
      <c r="V31" s="642"/>
      <c r="W31" s="631"/>
    </row>
    <row r="32" spans="2:23" ht="15.75" customHeight="1">
      <c r="B32" s="632"/>
      <c r="C32" s="322" t="s">
        <v>781</v>
      </c>
      <c r="D32" s="133">
        <v>400</v>
      </c>
      <c r="E32" s="172">
        <v>0.81</v>
      </c>
      <c r="F32" s="172">
        <v>0.89</v>
      </c>
      <c r="G32" s="161">
        <v>45847</v>
      </c>
      <c r="H32" s="325" t="s">
        <v>98</v>
      </c>
      <c r="I32" s="632"/>
      <c r="J32" s="633"/>
      <c r="K32" s="641"/>
      <c r="L32" s="631"/>
      <c r="M32" s="631"/>
      <c r="N32" s="631"/>
      <c r="O32" s="40"/>
      <c r="P32" s="643"/>
      <c r="Q32" s="634"/>
      <c r="R32" s="631"/>
      <c r="S32" s="631"/>
      <c r="T32" s="631"/>
      <c r="U32" s="631"/>
      <c r="V32" s="642"/>
      <c r="W32" s="631"/>
    </row>
    <row r="33" spans="1:25" ht="12.75" customHeight="1">
      <c r="B33" s="632"/>
      <c r="C33" s="375" t="s">
        <v>782</v>
      </c>
      <c r="D33" s="374">
        <v>400</v>
      </c>
      <c r="E33" s="376">
        <v>0.77</v>
      </c>
      <c r="F33" s="376">
        <v>0.84</v>
      </c>
      <c r="G33" s="377">
        <v>45847</v>
      </c>
      <c r="H33" s="378" t="s">
        <v>98</v>
      </c>
      <c r="I33" s="632"/>
      <c r="J33" s="633"/>
      <c r="K33" s="641"/>
      <c r="L33" s="631"/>
      <c r="M33" s="631"/>
      <c r="N33" s="631"/>
      <c r="O33" s="40"/>
      <c r="P33" s="643"/>
      <c r="Q33" s="634"/>
      <c r="R33" s="631"/>
      <c r="S33" s="631"/>
      <c r="T33" s="631"/>
      <c r="U33" s="631"/>
      <c r="V33" s="642"/>
      <c r="W33" s="631"/>
    </row>
    <row r="34" spans="1:25" s="379" customFormat="1">
      <c r="A34" s="632" t="s">
        <v>689</v>
      </c>
      <c r="B34" s="385" t="s">
        <v>783</v>
      </c>
      <c r="C34" s="388" t="s">
        <v>784</v>
      </c>
      <c r="D34" s="380">
        <v>1362</v>
      </c>
      <c r="E34" s="381">
        <v>1.96</v>
      </c>
      <c r="F34" s="381">
        <v>4.79</v>
      </c>
      <c r="G34" s="383">
        <v>46084</v>
      </c>
      <c r="H34" s="399" t="s">
        <v>98</v>
      </c>
      <c r="I34" s="373" t="s">
        <v>785</v>
      </c>
      <c r="J34" s="386" t="s">
        <v>783</v>
      </c>
      <c r="L34" s="382"/>
      <c r="M34" s="382" t="s">
        <v>58</v>
      </c>
      <c r="N34" s="631"/>
      <c r="O34" s="40"/>
      <c r="P34" s="401" t="s">
        <v>786</v>
      </c>
      <c r="Q34" s="384">
        <v>20</v>
      </c>
      <c r="R34" s="631"/>
      <c r="S34" s="631"/>
      <c r="T34" s="631"/>
      <c r="U34" s="631"/>
      <c r="V34" s="401"/>
      <c r="W34" s="631"/>
      <c r="X34"/>
      <c r="Y34"/>
    </row>
    <row r="35" spans="1:25" s="379" customFormat="1">
      <c r="A35" s="632"/>
      <c r="B35" s="644" t="s">
        <v>787</v>
      </c>
      <c r="C35" s="3" t="s">
        <v>788</v>
      </c>
      <c r="D35" s="387">
        <v>200</v>
      </c>
      <c r="E35" s="381">
        <v>5.07</v>
      </c>
      <c r="F35" s="381">
        <v>8.3699999999999992</v>
      </c>
      <c r="G35" s="389">
        <v>46077</v>
      </c>
      <c r="H35" s="394" t="s">
        <v>98</v>
      </c>
      <c r="I35" s="632" t="s">
        <v>69</v>
      </c>
      <c r="J35" s="633" t="s">
        <v>787</v>
      </c>
      <c r="K35" s="631" t="s">
        <v>778</v>
      </c>
      <c r="L35" s="631" t="s">
        <v>778</v>
      </c>
      <c r="M35" s="631">
        <v>50</v>
      </c>
      <c r="N35" s="631"/>
      <c r="O35" s="647" t="s">
        <v>778</v>
      </c>
      <c r="P35" s="643" t="s">
        <v>786</v>
      </c>
      <c r="Q35" s="631">
        <v>50</v>
      </c>
      <c r="R35" s="631"/>
      <c r="S35" s="631"/>
      <c r="T35" s="631"/>
      <c r="U35" s="631"/>
      <c r="V35" s="401"/>
      <c r="W35" s="631"/>
      <c r="X35"/>
      <c r="Y35"/>
    </row>
    <row r="36" spans="1:25">
      <c r="A36" s="632"/>
      <c r="B36" s="645"/>
      <c r="C36" s="367" t="s">
        <v>789</v>
      </c>
      <c r="D36" s="380">
        <v>200</v>
      </c>
      <c r="E36" s="391">
        <v>8.5500000000000007</v>
      </c>
      <c r="F36" s="391">
        <v>10.1</v>
      </c>
      <c r="G36" s="390">
        <v>46077</v>
      </c>
      <c r="H36" s="394" t="s">
        <v>98</v>
      </c>
      <c r="I36" s="632"/>
      <c r="J36" s="633"/>
      <c r="K36" s="631"/>
      <c r="L36" s="631"/>
      <c r="M36" s="631"/>
      <c r="N36" s="631"/>
      <c r="O36" s="647"/>
      <c r="P36" s="643"/>
      <c r="Q36" s="631"/>
      <c r="R36" s="631"/>
      <c r="S36" s="631"/>
      <c r="T36" s="631"/>
      <c r="U36" s="631"/>
      <c r="V36" s="401"/>
      <c r="W36" s="631"/>
    </row>
    <row r="37" spans="1:25">
      <c r="A37" s="632"/>
      <c r="B37" s="645"/>
      <c r="C37" s="3" t="s">
        <v>790</v>
      </c>
      <c r="D37" s="380">
        <v>200</v>
      </c>
      <c r="E37" s="172">
        <v>8.66</v>
      </c>
      <c r="F37" s="172">
        <v>13.8</v>
      </c>
      <c r="G37" s="390">
        <v>46077</v>
      </c>
      <c r="H37" s="394" t="s">
        <v>98</v>
      </c>
      <c r="I37" s="632"/>
      <c r="J37" s="633"/>
      <c r="K37" s="631"/>
      <c r="L37" s="631"/>
      <c r="M37" s="631"/>
      <c r="N37" s="631"/>
      <c r="O37" s="647"/>
      <c r="P37" s="643"/>
      <c r="Q37" s="631"/>
      <c r="R37" s="631"/>
      <c r="S37" s="631"/>
      <c r="T37" s="631"/>
      <c r="U37" s="631"/>
      <c r="V37" s="401"/>
      <c r="W37" s="631"/>
    </row>
    <row r="38" spans="1:25">
      <c r="A38" s="632"/>
      <c r="B38" s="645"/>
      <c r="C38" s="3" t="s">
        <v>774</v>
      </c>
      <c r="D38" s="380">
        <v>200</v>
      </c>
      <c r="E38" s="172">
        <v>0.23</v>
      </c>
      <c r="F38" s="172">
        <v>0.27</v>
      </c>
      <c r="G38" s="390">
        <v>46077</v>
      </c>
      <c r="H38" s="394" t="s">
        <v>98</v>
      </c>
      <c r="I38" s="632"/>
      <c r="J38" s="633"/>
      <c r="K38" s="631"/>
      <c r="L38" s="631"/>
      <c r="M38" s="631"/>
      <c r="N38" s="631"/>
      <c r="O38" s="647"/>
      <c r="P38" s="643"/>
      <c r="Q38" s="631"/>
      <c r="R38" s="631"/>
      <c r="S38" s="631"/>
      <c r="T38" s="631"/>
      <c r="U38" s="631"/>
      <c r="V38" s="401"/>
      <c r="W38" s="631"/>
    </row>
    <row r="39" spans="1:25">
      <c r="A39" s="632"/>
      <c r="B39" s="646"/>
      <c r="C39" s="3" t="s">
        <v>775</v>
      </c>
      <c r="D39" s="380">
        <v>200</v>
      </c>
      <c r="E39" s="172">
        <v>0.26</v>
      </c>
      <c r="F39" s="172">
        <v>0.33</v>
      </c>
      <c r="G39" s="390">
        <v>46077</v>
      </c>
      <c r="H39" s="394" t="s">
        <v>98</v>
      </c>
      <c r="I39" s="632"/>
      <c r="J39" s="633"/>
      <c r="K39" s="631"/>
      <c r="L39" s="631"/>
      <c r="M39" s="631"/>
      <c r="N39" s="631"/>
      <c r="O39" s="647"/>
      <c r="P39" s="643"/>
      <c r="Q39" s="631"/>
      <c r="R39" s="631"/>
      <c r="S39" s="631"/>
      <c r="T39" s="631"/>
      <c r="U39" s="631"/>
      <c r="V39" s="401"/>
      <c r="W39" s="631"/>
    </row>
    <row r="40" spans="1:25">
      <c r="A40" s="632"/>
      <c r="B40" s="385" t="s">
        <v>783</v>
      </c>
      <c r="C40" s="3" t="s">
        <v>783</v>
      </c>
      <c r="D40" s="380">
        <v>4700</v>
      </c>
      <c r="E40" s="172">
        <v>1.02</v>
      </c>
      <c r="F40" s="172">
        <v>1.66</v>
      </c>
      <c r="G40" s="390">
        <v>46087</v>
      </c>
      <c r="H40" s="51" t="s">
        <v>791</v>
      </c>
      <c r="I40" s="373" t="s">
        <v>69</v>
      </c>
      <c r="J40" s="400" t="s">
        <v>783</v>
      </c>
      <c r="K40" s="379" t="s">
        <v>778</v>
      </c>
      <c r="L40" s="382" t="s">
        <v>783</v>
      </c>
      <c r="M40" s="382">
        <v>150</v>
      </c>
      <c r="N40" s="384"/>
      <c r="O40" s="40"/>
      <c r="P40" s="402" t="s">
        <v>786</v>
      </c>
      <c r="Q40" s="384">
        <v>50</v>
      </c>
      <c r="R40" s="631"/>
      <c r="S40" s="631"/>
      <c r="T40" s="631"/>
      <c r="U40" s="631"/>
      <c r="V40" s="401"/>
      <c r="W40" s="631"/>
    </row>
    <row r="41" spans="1:25">
      <c r="L41" s="185"/>
      <c r="M41" s="185"/>
      <c r="N41" s="186"/>
      <c r="O41" s="186"/>
      <c r="P41" s="186"/>
      <c r="Q41" s="186"/>
      <c r="R41" s="186"/>
      <c r="S41" s="186"/>
      <c r="T41" s="186"/>
      <c r="U41" s="186"/>
      <c r="V41" s="186"/>
      <c r="W41" s="186"/>
    </row>
    <row r="42" spans="1:25">
      <c r="L42" s="185"/>
      <c r="M42" s="185"/>
      <c r="N42" s="186"/>
      <c r="O42" s="186"/>
      <c r="P42" s="186"/>
      <c r="Q42" s="186"/>
      <c r="R42" s="186"/>
      <c r="S42" s="186"/>
      <c r="T42" s="186"/>
      <c r="U42" s="186"/>
      <c r="V42" s="186"/>
      <c r="W42" s="186"/>
    </row>
    <row r="43" spans="1:25">
      <c r="L43" s="185"/>
      <c r="M43" s="185"/>
      <c r="N43" s="186"/>
      <c r="O43" s="186"/>
      <c r="P43" s="186"/>
      <c r="Q43" s="186"/>
      <c r="R43" s="186"/>
      <c r="S43" s="186"/>
      <c r="T43" s="186"/>
      <c r="U43" s="186"/>
      <c r="V43" s="186"/>
      <c r="W43" s="186"/>
    </row>
    <row r="44" spans="1:25">
      <c r="L44" s="185"/>
      <c r="M44" s="185"/>
      <c r="N44" s="186"/>
      <c r="O44" s="186"/>
      <c r="P44" s="186"/>
      <c r="Q44" s="186"/>
      <c r="R44" s="186"/>
      <c r="S44" s="186"/>
      <c r="T44" s="186"/>
      <c r="U44" s="186"/>
      <c r="V44" s="186"/>
      <c r="W44" s="186"/>
    </row>
    <row r="45" spans="1:25">
      <c r="L45" s="185"/>
      <c r="M45" s="185"/>
      <c r="N45" s="186"/>
      <c r="O45" s="186"/>
      <c r="P45" s="186"/>
      <c r="Q45" s="186"/>
      <c r="R45" s="186"/>
      <c r="S45" s="186"/>
      <c r="T45" s="186"/>
      <c r="U45" s="186"/>
      <c r="V45" s="186"/>
      <c r="W45" s="186"/>
    </row>
    <row r="46" spans="1:25">
      <c r="L46" s="185"/>
      <c r="M46" s="185"/>
      <c r="N46" s="186"/>
      <c r="O46" s="186"/>
      <c r="P46" s="186"/>
      <c r="Q46" s="186"/>
      <c r="R46" s="186"/>
      <c r="S46" s="186"/>
      <c r="T46" s="186"/>
      <c r="U46" s="186"/>
      <c r="V46" s="186"/>
      <c r="W46" s="186"/>
    </row>
    <row r="47" spans="1:25">
      <c r="L47" s="185"/>
      <c r="M47" s="185"/>
      <c r="N47" s="186"/>
      <c r="O47" s="186"/>
      <c r="P47" s="186"/>
      <c r="Q47" s="186"/>
      <c r="R47" s="186"/>
      <c r="S47" s="186"/>
      <c r="T47" s="186"/>
      <c r="U47" s="186"/>
      <c r="V47" s="186"/>
      <c r="W47" s="186"/>
    </row>
    <row r="48" spans="1:25">
      <c r="L48" s="185"/>
      <c r="M48" s="185"/>
      <c r="N48" s="186"/>
      <c r="O48" s="186"/>
      <c r="P48" s="186"/>
      <c r="Q48" s="186"/>
      <c r="R48" s="186"/>
      <c r="S48" s="186"/>
      <c r="T48" s="186"/>
      <c r="U48" s="186"/>
      <c r="V48" s="186"/>
      <c r="W48" s="186"/>
    </row>
    <row r="49" spans="12:23">
      <c r="L49" s="185"/>
      <c r="M49" s="185"/>
      <c r="N49" s="186"/>
      <c r="O49" s="186"/>
      <c r="P49" s="186"/>
      <c r="Q49" s="186"/>
      <c r="R49" s="186"/>
      <c r="S49" s="186"/>
      <c r="T49" s="186"/>
      <c r="U49" s="186"/>
      <c r="V49" s="186"/>
      <c r="W49" s="186"/>
    </row>
    <row r="50" spans="12:23">
      <c r="L50" s="185"/>
      <c r="M50" s="185"/>
      <c r="N50" s="186"/>
      <c r="O50" s="186"/>
      <c r="P50" s="186"/>
      <c r="Q50" s="186"/>
      <c r="R50" s="186"/>
      <c r="S50" s="186"/>
      <c r="T50" s="186"/>
      <c r="U50" s="186"/>
      <c r="V50" s="186"/>
      <c r="W50" s="186"/>
    </row>
    <row r="51" spans="12:23">
      <c r="L51" s="185"/>
      <c r="M51" s="185"/>
      <c r="N51" s="186"/>
      <c r="O51" s="186"/>
      <c r="P51" s="186"/>
      <c r="Q51" s="186"/>
      <c r="R51" s="186"/>
      <c r="S51" s="186"/>
      <c r="T51" s="186"/>
      <c r="U51" s="186"/>
      <c r="V51" s="186"/>
      <c r="W51" s="186"/>
    </row>
    <row r="52" spans="12:23">
      <c r="L52" s="185"/>
      <c r="M52" s="185"/>
      <c r="N52" s="186"/>
      <c r="O52" s="186"/>
      <c r="P52" s="186"/>
      <c r="Q52" s="186"/>
      <c r="R52" s="186"/>
      <c r="S52" s="186"/>
      <c r="T52" s="186"/>
      <c r="U52" s="186"/>
      <c r="V52" s="186"/>
      <c r="W52" s="186"/>
    </row>
    <row r="53" spans="12:23">
      <c r="L53" s="185"/>
      <c r="M53" s="185"/>
      <c r="N53" s="186"/>
      <c r="O53" s="186"/>
      <c r="P53" s="186"/>
      <c r="Q53" s="186"/>
      <c r="R53" s="186"/>
      <c r="S53" s="186"/>
      <c r="T53" s="186"/>
      <c r="U53" s="186"/>
      <c r="V53" s="186"/>
      <c r="W53" s="186"/>
    </row>
    <row r="54" spans="12:23">
      <c r="L54" s="2"/>
      <c r="M54" s="2"/>
      <c r="N54" s="2"/>
      <c r="O54" s="2"/>
      <c r="P54" s="2"/>
      <c r="Q54" s="2"/>
      <c r="R54" s="2"/>
      <c r="S54" s="2"/>
      <c r="T54" s="2"/>
      <c r="U54" s="2"/>
      <c r="V54" s="2"/>
      <c r="W54" s="2"/>
    </row>
    <row r="55" spans="12:23">
      <c r="L55" s="2"/>
      <c r="M55" s="2"/>
      <c r="N55" s="2"/>
      <c r="O55" s="2"/>
      <c r="P55" s="2"/>
      <c r="Q55" s="2"/>
      <c r="R55" s="2"/>
      <c r="S55" s="2"/>
      <c r="T55" s="2"/>
      <c r="U55" s="2"/>
      <c r="V55" s="2"/>
      <c r="W55" s="2"/>
    </row>
    <row r="56" spans="12:23">
      <c r="L56" s="2"/>
      <c r="M56" s="2"/>
      <c r="N56" s="2"/>
      <c r="O56" s="2"/>
      <c r="P56" s="2"/>
      <c r="Q56" s="2"/>
      <c r="R56" s="2"/>
      <c r="S56" s="2"/>
      <c r="T56" s="2"/>
      <c r="U56" s="2"/>
      <c r="V56" s="2"/>
      <c r="W56" s="2"/>
    </row>
    <row r="57" spans="12:23">
      <c r="L57" s="2"/>
      <c r="M57" s="2"/>
      <c r="N57" s="2"/>
      <c r="O57" s="2"/>
      <c r="P57" s="2"/>
      <c r="Q57" s="2"/>
      <c r="R57" s="2"/>
      <c r="S57" s="2"/>
      <c r="T57" s="2"/>
      <c r="U57" s="2"/>
      <c r="V57" s="2"/>
      <c r="W57" s="2"/>
    </row>
    <row r="58" spans="12:23">
      <c r="L58" s="2"/>
      <c r="M58" s="2"/>
      <c r="N58" s="2"/>
      <c r="O58" s="2"/>
      <c r="P58" s="2"/>
      <c r="Q58" s="2"/>
      <c r="R58" s="2"/>
      <c r="S58" s="2"/>
      <c r="T58" s="2"/>
      <c r="U58" s="2"/>
      <c r="V58" s="2"/>
      <c r="W58" s="2"/>
    </row>
    <row r="59" spans="12:23">
      <c r="L59" s="2"/>
      <c r="M59" s="2"/>
      <c r="N59" s="2"/>
      <c r="O59" s="2"/>
      <c r="P59" s="2"/>
      <c r="Q59" s="2"/>
      <c r="R59" s="2"/>
      <c r="S59" s="2"/>
      <c r="T59" s="2"/>
      <c r="U59" s="2"/>
      <c r="V59" s="2"/>
      <c r="W59" s="2"/>
    </row>
    <row r="60" spans="12:23">
      <c r="L60" s="2"/>
      <c r="M60" s="2"/>
      <c r="N60" s="2"/>
      <c r="O60" s="2"/>
      <c r="P60" s="2"/>
      <c r="Q60" s="2"/>
      <c r="R60" s="2"/>
      <c r="S60" s="2"/>
      <c r="T60" s="2"/>
      <c r="U60" s="2"/>
      <c r="V60" s="2"/>
      <c r="W60" s="2"/>
    </row>
    <row r="61" spans="12:23">
      <c r="L61" s="2"/>
      <c r="M61" s="2"/>
      <c r="N61" s="2"/>
      <c r="O61" s="2"/>
      <c r="P61" s="2"/>
      <c r="Q61" s="2"/>
      <c r="R61" s="2"/>
      <c r="S61" s="2"/>
      <c r="T61" s="2"/>
      <c r="U61" s="2"/>
      <c r="V61" s="2"/>
      <c r="W61" s="2"/>
    </row>
    <row r="62" spans="12:23">
      <c r="L62" s="2"/>
      <c r="M62" s="2"/>
      <c r="N62" s="2"/>
      <c r="O62" s="2"/>
      <c r="P62" s="2"/>
      <c r="Q62" s="2"/>
      <c r="R62" s="2"/>
      <c r="S62" s="2"/>
      <c r="T62" s="2"/>
      <c r="U62" s="2"/>
      <c r="V62" s="2"/>
      <c r="W62" s="2"/>
    </row>
    <row r="63" spans="12:23">
      <c r="L63" s="2"/>
      <c r="M63" s="2"/>
      <c r="N63" s="2"/>
      <c r="O63" s="2"/>
      <c r="P63" s="2"/>
      <c r="Q63" s="2"/>
      <c r="R63" s="2"/>
      <c r="S63" s="2"/>
      <c r="T63" s="2"/>
      <c r="U63" s="2"/>
      <c r="V63" s="2"/>
      <c r="W63" s="2"/>
    </row>
    <row r="64" spans="12:23">
      <c r="L64" s="2"/>
      <c r="M64" s="2"/>
      <c r="N64" s="2"/>
      <c r="O64" s="2"/>
      <c r="P64" s="2"/>
      <c r="Q64" s="2"/>
      <c r="R64" s="2"/>
      <c r="S64" s="2"/>
      <c r="T64" s="2"/>
      <c r="U64" s="2"/>
      <c r="V64" s="2"/>
      <c r="W64" s="2"/>
    </row>
    <row r="65" spans="12:23">
      <c r="L65" s="2"/>
      <c r="M65" s="2"/>
      <c r="N65" s="2"/>
      <c r="O65" s="2"/>
      <c r="P65" s="2"/>
      <c r="Q65" s="2"/>
      <c r="R65" s="2"/>
      <c r="S65" s="2"/>
      <c r="T65" s="2"/>
      <c r="U65" s="2"/>
      <c r="V65" s="2"/>
      <c r="W65" s="2"/>
    </row>
    <row r="66" spans="12:23">
      <c r="L66" s="2"/>
      <c r="M66" s="2"/>
      <c r="N66" s="2"/>
      <c r="O66" s="2"/>
      <c r="P66" s="2"/>
      <c r="Q66" s="2"/>
      <c r="R66" s="2"/>
      <c r="S66" s="2"/>
      <c r="T66" s="2"/>
      <c r="U66" s="2"/>
      <c r="V66" s="2"/>
      <c r="W66" s="2"/>
    </row>
    <row r="67" spans="12:23">
      <c r="L67" s="2"/>
      <c r="M67" s="2"/>
      <c r="N67" s="2"/>
      <c r="O67" s="2"/>
      <c r="P67" s="2"/>
      <c r="Q67" s="2"/>
      <c r="R67" s="2"/>
      <c r="S67" s="2"/>
      <c r="T67" s="2"/>
      <c r="U67" s="2"/>
      <c r="V67" s="2"/>
      <c r="W67" s="2"/>
    </row>
    <row r="68" spans="12:23">
      <c r="L68" s="2"/>
      <c r="M68" s="2"/>
      <c r="N68" s="2"/>
      <c r="O68" s="2"/>
      <c r="P68" s="2"/>
      <c r="Q68" s="2"/>
      <c r="R68" s="2"/>
      <c r="S68" s="2"/>
      <c r="T68" s="2"/>
      <c r="U68" s="2"/>
      <c r="V68" s="2"/>
      <c r="W68" s="2"/>
    </row>
    <row r="69" spans="12:23">
      <c r="L69" s="2"/>
      <c r="M69" s="2"/>
      <c r="N69" s="2"/>
      <c r="O69" s="2"/>
      <c r="P69" s="2"/>
      <c r="Q69" s="2"/>
      <c r="R69" s="2"/>
      <c r="S69" s="2"/>
      <c r="T69" s="2"/>
      <c r="U69" s="2"/>
      <c r="V69" s="2"/>
      <c r="W69" s="2"/>
    </row>
    <row r="70" spans="12:23">
      <c r="L70" s="2"/>
      <c r="M70" s="2"/>
      <c r="N70" s="2"/>
      <c r="O70" s="2"/>
      <c r="P70" s="2"/>
      <c r="Q70" s="2"/>
      <c r="R70" s="2"/>
      <c r="S70" s="2"/>
      <c r="T70" s="2"/>
      <c r="U70" s="2"/>
      <c r="V70" s="2"/>
      <c r="W70" s="2"/>
    </row>
    <row r="71" spans="12:23">
      <c r="L71" s="2"/>
      <c r="M71" s="2"/>
      <c r="N71" s="2"/>
      <c r="O71" s="2"/>
      <c r="P71" s="2"/>
      <c r="Q71" s="2"/>
      <c r="R71" s="2"/>
      <c r="S71" s="2"/>
      <c r="T71" s="2"/>
      <c r="U71" s="2"/>
      <c r="V71" s="2"/>
      <c r="W71" s="2"/>
    </row>
    <row r="72" spans="12:23">
      <c r="L72" s="2"/>
      <c r="M72" s="2"/>
      <c r="N72" s="2"/>
      <c r="O72" s="2"/>
      <c r="P72" s="2"/>
      <c r="Q72" s="2"/>
      <c r="R72" s="2"/>
      <c r="S72" s="2"/>
      <c r="T72" s="2"/>
      <c r="U72" s="2"/>
      <c r="V72" s="2"/>
      <c r="W72" s="2"/>
    </row>
    <row r="73" spans="12:23">
      <c r="L73" s="2"/>
      <c r="M73" s="2"/>
      <c r="N73" s="2"/>
      <c r="O73" s="2"/>
      <c r="P73" s="2"/>
      <c r="Q73" s="2"/>
      <c r="R73" s="2"/>
      <c r="S73" s="2"/>
      <c r="T73" s="2"/>
      <c r="U73" s="2"/>
      <c r="V73" s="2"/>
      <c r="W73" s="2"/>
    </row>
    <row r="74" spans="12:23">
      <c r="L74" s="2"/>
      <c r="M74" s="2"/>
      <c r="N74" s="2"/>
      <c r="O74" s="2"/>
      <c r="P74" s="2"/>
      <c r="Q74" s="2"/>
      <c r="R74" s="2"/>
      <c r="S74" s="2"/>
      <c r="T74" s="2"/>
      <c r="U74" s="2"/>
      <c r="V74" s="2"/>
      <c r="W74" s="2"/>
    </row>
    <row r="75" spans="12:23">
      <c r="L75" s="2"/>
      <c r="M75" s="2"/>
      <c r="N75" s="2"/>
      <c r="O75" s="2"/>
      <c r="P75" s="2"/>
      <c r="Q75" s="2"/>
      <c r="R75" s="2"/>
      <c r="S75" s="2"/>
      <c r="T75" s="2"/>
      <c r="U75" s="2"/>
      <c r="V75" s="2"/>
      <c r="W75" s="2"/>
    </row>
    <row r="76" spans="12:23">
      <c r="L76" s="2"/>
      <c r="M76" s="2"/>
      <c r="N76" s="2"/>
      <c r="O76" s="2"/>
      <c r="P76" s="2"/>
      <c r="Q76" s="2"/>
      <c r="R76" s="2"/>
      <c r="S76" s="2"/>
      <c r="T76" s="2"/>
      <c r="U76" s="2"/>
      <c r="V76" s="2"/>
      <c r="W76" s="2"/>
    </row>
    <row r="77" spans="12:23">
      <c r="L77" s="2"/>
      <c r="M77" s="2"/>
      <c r="N77" s="2"/>
      <c r="O77" s="2"/>
      <c r="P77" s="2"/>
      <c r="Q77" s="2"/>
      <c r="R77" s="2"/>
      <c r="S77" s="2"/>
      <c r="T77" s="2"/>
      <c r="U77" s="2"/>
      <c r="V77" s="2"/>
      <c r="W77" s="2"/>
    </row>
    <row r="78" spans="12:23">
      <c r="L78" s="2"/>
      <c r="M78" s="2"/>
      <c r="N78" s="2"/>
      <c r="O78" s="2"/>
      <c r="P78" s="2"/>
      <c r="Q78" s="2"/>
      <c r="R78" s="2"/>
      <c r="S78" s="2"/>
      <c r="T78" s="2"/>
      <c r="U78" s="2"/>
      <c r="V78" s="2"/>
      <c r="W78" s="2"/>
    </row>
    <row r="79" spans="12:23">
      <c r="L79" s="2"/>
      <c r="M79" s="2"/>
      <c r="N79" s="2"/>
      <c r="O79" s="2"/>
      <c r="P79" s="2"/>
      <c r="Q79" s="2"/>
      <c r="R79" s="2"/>
      <c r="S79" s="2"/>
      <c r="T79" s="2"/>
      <c r="U79" s="2"/>
      <c r="V79" s="2"/>
      <c r="W79" s="2"/>
    </row>
    <row r="80" spans="12:23">
      <c r="L80" s="2"/>
      <c r="M80" s="2"/>
      <c r="N80" s="2"/>
      <c r="O80" s="2"/>
      <c r="P80" s="2"/>
      <c r="Q80" s="2"/>
      <c r="R80" s="2"/>
      <c r="S80" s="2"/>
      <c r="T80" s="2"/>
      <c r="U80" s="2"/>
      <c r="V80" s="2"/>
      <c r="W80" s="2"/>
    </row>
    <row r="81" spans="12:23">
      <c r="L81" s="2"/>
      <c r="M81" s="2"/>
      <c r="N81" s="2"/>
      <c r="O81" s="2"/>
      <c r="P81" s="2"/>
      <c r="Q81" s="2"/>
      <c r="R81" s="2"/>
      <c r="S81" s="2"/>
      <c r="T81" s="2"/>
      <c r="U81" s="2"/>
      <c r="V81" s="2"/>
      <c r="W81" s="2"/>
    </row>
    <row r="82" spans="12:23">
      <c r="L82" s="2"/>
      <c r="M82" s="2"/>
      <c r="N82" s="2"/>
      <c r="O82" s="2"/>
      <c r="P82" s="2"/>
      <c r="Q82" s="2"/>
      <c r="R82" s="2"/>
      <c r="S82" s="2"/>
      <c r="T82" s="2"/>
      <c r="U82" s="2"/>
      <c r="V82" s="2"/>
      <c r="W82" s="2"/>
    </row>
    <row r="83" spans="12:23">
      <c r="L83" s="2"/>
      <c r="M83" s="2"/>
      <c r="N83" s="2"/>
      <c r="O83" s="2"/>
      <c r="P83" s="2"/>
      <c r="Q83" s="2"/>
      <c r="R83" s="2"/>
      <c r="S83" s="2"/>
      <c r="T83" s="2"/>
      <c r="U83" s="2"/>
      <c r="V83" s="2"/>
      <c r="W83" s="2"/>
    </row>
    <row r="84" spans="12:23">
      <c r="L84" s="2"/>
      <c r="M84" s="2"/>
      <c r="N84" s="2"/>
      <c r="O84" s="2"/>
      <c r="P84" s="2"/>
      <c r="Q84" s="2"/>
      <c r="R84" s="2"/>
      <c r="S84" s="2"/>
      <c r="T84" s="2"/>
      <c r="U84" s="2"/>
      <c r="V84" s="2"/>
      <c r="W84" s="2"/>
    </row>
    <row r="85" spans="12:23">
      <c r="L85" s="2"/>
      <c r="M85" s="2"/>
      <c r="N85" s="2"/>
      <c r="O85" s="2"/>
      <c r="P85" s="2"/>
      <c r="Q85" s="2"/>
      <c r="R85" s="2"/>
      <c r="S85" s="2"/>
      <c r="T85" s="2"/>
      <c r="U85" s="2"/>
      <c r="V85" s="2"/>
      <c r="W85" s="2"/>
    </row>
    <row r="86" spans="12:23">
      <c r="L86" s="2"/>
      <c r="M86" s="2"/>
      <c r="N86" s="2"/>
      <c r="O86" s="2"/>
      <c r="P86" s="2"/>
      <c r="Q86" s="2"/>
      <c r="R86" s="2"/>
      <c r="S86" s="2"/>
      <c r="T86" s="2"/>
      <c r="U86" s="2"/>
      <c r="V86" s="2"/>
      <c r="W86" s="2"/>
    </row>
    <row r="87" spans="12:23">
      <c r="L87" s="2"/>
      <c r="M87" s="2"/>
      <c r="N87" s="2"/>
      <c r="O87" s="2"/>
      <c r="P87" s="2"/>
      <c r="Q87" s="2"/>
      <c r="R87" s="2"/>
      <c r="S87" s="2"/>
      <c r="T87" s="2"/>
      <c r="U87" s="2"/>
      <c r="V87" s="2"/>
      <c r="W87" s="2"/>
    </row>
    <row r="88" spans="12:23">
      <c r="L88" s="2"/>
      <c r="M88" s="2"/>
      <c r="N88" s="2"/>
      <c r="O88" s="2"/>
      <c r="P88" s="2"/>
      <c r="Q88" s="2"/>
      <c r="R88" s="2"/>
      <c r="S88" s="2"/>
      <c r="T88" s="2"/>
      <c r="U88" s="2"/>
      <c r="V88" s="2"/>
      <c r="W88" s="2"/>
    </row>
    <row r="89" spans="12:23">
      <c r="L89" s="2"/>
      <c r="M89" s="2"/>
      <c r="N89" s="2"/>
      <c r="O89" s="2"/>
      <c r="P89" s="2"/>
      <c r="Q89" s="2"/>
      <c r="R89" s="2"/>
      <c r="S89" s="2"/>
      <c r="T89" s="2"/>
      <c r="U89" s="2"/>
      <c r="V89" s="2"/>
      <c r="W89" s="2"/>
    </row>
    <row r="90" spans="12:23">
      <c r="L90" s="2"/>
      <c r="M90" s="2"/>
      <c r="N90" s="2"/>
      <c r="O90" s="2"/>
      <c r="P90" s="2"/>
      <c r="Q90" s="2"/>
      <c r="R90" s="2"/>
      <c r="S90" s="2"/>
      <c r="T90" s="2"/>
      <c r="U90" s="2"/>
      <c r="V90" s="2"/>
      <c r="W90" s="2"/>
    </row>
    <row r="91" spans="12:23">
      <c r="L91" s="2"/>
      <c r="M91" s="2"/>
      <c r="N91" s="2"/>
      <c r="O91" s="2"/>
      <c r="P91" s="2"/>
      <c r="Q91" s="2"/>
      <c r="R91" s="2"/>
      <c r="S91" s="2"/>
      <c r="T91" s="2"/>
      <c r="U91" s="2"/>
      <c r="V91" s="2"/>
      <c r="W91" s="2"/>
    </row>
    <row r="92" spans="12:23">
      <c r="L92" s="2"/>
      <c r="M92" s="2"/>
      <c r="N92" s="2"/>
      <c r="O92" s="2"/>
      <c r="P92" s="2"/>
      <c r="Q92" s="2"/>
      <c r="R92" s="2"/>
      <c r="S92" s="2"/>
      <c r="T92" s="2"/>
      <c r="U92" s="2"/>
      <c r="V92" s="2"/>
      <c r="W92" s="2"/>
    </row>
    <row r="93" spans="12:23">
      <c r="L93" s="2"/>
      <c r="M93" s="2"/>
      <c r="N93" s="2"/>
      <c r="O93" s="2"/>
      <c r="P93" s="2"/>
      <c r="Q93" s="2"/>
      <c r="R93" s="2"/>
      <c r="S93" s="2"/>
      <c r="T93" s="2"/>
      <c r="U93" s="2"/>
      <c r="V93" s="2"/>
      <c r="W93" s="2"/>
    </row>
    <row r="94" spans="12:23">
      <c r="L94" s="2"/>
      <c r="M94" s="2"/>
      <c r="N94" s="2"/>
      <c r="O94" s="2"/>
      <c r="P94" s="2"/>
      <c r="Q94" s="2"/>
      <c r="R94" s="2"/>
      <c r="S94" s="2"/>
      <c r="T94" s="2"/>
      <c r="U94" s="2"/>
      <c r="V94" s="2"/>
      <c r="W94" s="2"/>
    </row>
    <row r="95" spans="12:23">
      <c r="L95" s="2"/>
      <c r="M95" s="2"/>
      <c r="N95" s="2"/>
      <c r="O95" s="2"/>
      <c r="P95" s="2"/>
      <c r="Q95" s="2"/>
      <c r="R95" s="2"/>
      <c r="S95" s="2"/>
      <c r="T95" s="2"/>
      <c r="U95" s="2"/>
      <c r="V95" s="2"/>
      <c r="W95" s="2"/>
    </row>
    <row r="96" spans="12:23">
      <c r="L96" s="2"/>
      <c r="M96" s="2"/>
      <c r="N96" s="2"/>
      <c r="O96" s="2"/>
      <c r="P96" s="2"/>
      <c r="Q96" s="2"/>
      <c r="R96" s="2"/>
      <c r="S96" s="2"/>
      <c r="T96" s="2"/>
      <c r="U96" s="2"/>
      <c r="V96" s="2"/>
      <c r="W96" s="2"/>
    </row>
    <row r="97" spans="12:23">
      <c r="L97" s="2"/>
      <c r="M97" s="2"/>
      <c r="N97" s="2"/>
      <c r="O97" s="2"/>
      <c r="P97" s="2"/>
      <c r="Q97" s="2"/>
      <c r="R97" s="2"/>
      <c r="S97" s="2"/>
      <c r="T97" s="2"/>
      <c r="U97" s="2"/>
      <c r="V97" s="2"/>
      <c r="W97" s="2"/>
    </row>
    <row r="98" spans="12:23">
      <c r="L98" s="2"/>
      <c r="M98" s="2"/>
      <c r="N98" s="2"/>
      <c r="O98" s="2"/>
      <c r="P98" s="2"/>
      <c r="Q98" s="2"/>
      <c r="R98" s="2"/>
      <c r="S98" s="2"/>
      <c r="T98" s="2"/>
      <c r="U98" s="2"/>
      <c r="V98" s="2"/>
      <c r="W98" s="2"/>
    </row>
    <row r="99" spans="12:23">
      <c r="L99" s="2"/>
      <c r="M99" s="2"/>
      <c r="N99" s="2"/>
      <c r="O99" s="2"/>
      <c r="P99" s="2"/>
      <c r="Q99" s="2"/>
      <c r="R99" s="2"/>
      <c r="S99" s="2"/>
      <c r="T99" s="2"/>
      <c r="U99" s="2"/>
      <c r="V99" s="2"/>
      <c r="W99" s="2"/>
    </row>
    <row r="100" spans="12:23">
      <c r="L100" s="2"/>
      <c r="M100" s="2"/>
      <c r="N100" s="2"/>
      <c r="O100" s="2"/>
      <c r="P100" s="2"/>
      <c r="Q100" s="2"/>
      <c r="R100" s="2"/>
      <c r="S100" s="2"/>
      <c r="T100" s="2"/>
      <c r="U100" s="2"/>
      <c r="V100" s="2"/>
      <c r="W100" s="2"/>
    </row>
    <row r="101" spans="12:23">
      <c r="L101" s="2"/>
      <c r="M101" s="2"/>
      <c r="N101" s="2"/>
      <c r="O101" s="2"/>
      <c r="P101" s="2"/>
      <c r="Q101" s="2"/>
      <c r="R101" s="2"/>
      <c r="S101" s="2"/>
      <c r="T101" s="2"/>
      <c r="U101" s="2"/>
      <c r="V101" s="2"/>
      <c r="W101" s="2"/>
    </row>
    <row r="102" spans="12:23">
      <c r="L102" s="2"/>
      <c r="M102" s="2"/>
      <c r="N102" s="2"/>
      <c r="O102" s="2"/>
      <c r="P102" s="2"/>
      <c r="Q102" s="2"/>
      <c r="R102" s="2"/>
      <c r="S102" s="2"/>
      <c r="T102" s="2"/>
      <c r="U102" s="2"/>
      <c r="V102" s="2"/>
      <c r="W102" s="2"/>
    </row>
    <row r="103" spans="12:23">
      <c r="L103" s="2"/>
      <c r="M103" s="2"/>
      <c r="N103" s="2"/>
      <c r="O103" s="2"/>
      <c r="P103" s="2"/>
      <c r="Q103" s="2"/>
      <c r="R103" s="2"/>
      <c r="S103" s="2"/>
      <c r="T103" s="2"/>
      <c r="U103" s="2"/>
      <c r="V103" s="2"/>
      <c r="W103" s="2"/>
    </row>
    <row r="104" spans="12:23">
      <c r="L104" s="2"/>
      <c r="M104" s="2"/>
      <c r="N104" s="2"/>
      <c r="O104" s="2"/>
      <c r="P104" s="2"/>
      <c r="Q104" s="2"/>
      <c r="R104" s="2"/>
      <c r="S104" s="2"/>
      <c r="T104" s="2"/>
      <c r="U104" s="2"/>
      <c r="V104" s="2"/>
      <c r="W104" s="2"/>
    </row>
    <row r="105" spans="12:23">
      <c r="L105" s="2"/>
      <c r="M105" s="2"/>
      <c r="N105" s="2"/>
      <c r="O105" s="2"/>
      <c r="P105" s="2"/>
      <c r="Q105" s="2"/>
      <c r="R105" s="2"/>
      <c r="S105" s="2"/>
      <c r="T105" s="2"/>
      <c r="U105" s="2"/>
      <c r="V105" s="2"/>
      <c r="W105" s="2"/>
    </row>
    <row r="106" spans="12:23">
      <c r="L106" s="2"/>
      <c r="M106" s="2"/>
      <c r="N106" s="2"/>
      <c r="O106" s="2"/>
      <c r="P106" s="2"/>
      <c r="Q106" s="2"/>
      <c r="R106" s="2"/>
      <c r="S106" s="2"/>
      <c r="T106" s="2"/>
      <c r="U106" s="2"/>
      <c r="V106" s="2"/>
      <c r="W106" s="2"/>
    </row>
    <row r="107" spans="12:23">
      <c r="L107" s="2"/>
      <c r="M107" s="2"/>
      <c r="N107" s="2"/>
      <c r="O107" s="2"/>
      <c r="P107" s="2"/>
      <c r="Q107" s="2"/>
      <c r="R107" s="2"/>
      <c r="S107" s="2"/>
      <c r="T107" s="2"/>
      <c r="U107" s="2"/>
      <c r="V107" s="2"/>
      <c r="W107" s="2"/>
    </row>
    <row r="108" spans="12:23">
      <c r="L108" s="2"/>
      <c r="M108" s="2"/>
      <c r="N108" s="2"/>
      <c r="O108" s="2"/>
      <c r="P108" s="2"/>
      <c r="Q108" s="2"/>
      <c r="R108" s="2"/>
      <c r="S108" s="2"/>
      <c r="T108" s="2"/>
      <c r="U108" s="2"/>
      <c r="V108" s="2"/>
      <c r="W108" s="2"/>
    </row>
    <row r="109" spans="12:23">
      <c r="L109" s="2"/>
      <c r="M109" s="2"/>
      <c r="N109" s="2"/>
      <c r="O109" s="2"/>
      <c r="P109" s="2"/>
      <c r="Q109" s="2"/>
      <c r="R109" s="2"/>
      <c r="S109" s="2"/>
      <c r="T109" s="2"/>
      <c r="U109" s="2"/>
      <c r="V109" s="2"/>
      <c r="W109" s="2"/>
    </row>
    <row r="110" spans="12:23">
      <c r="L110" s="2"/>
      <c r="M110" s="2"/>
      <c r="N110" s="2"/>
      <c r="O110" s="2"/>
      <c r="P110" s="2"/>
      <c r="Q110" s="2"/>
      <c r="R110" s="2"/>
      <c r="S110" s="2"/>
      <c r="T110" s="2"/>
      <c r="U110" s="2"/>
      <c r="V110" s="2"/>
      <c r="W110" s="2"/>
    </row>
    <row r="111" spans="12:23">
      <c r="L111" s="2"/>
      <c r="M111" s="2"/>
      <c r="N111" s="2"/>
      <c r="O111" s="2"/>
      <c r="P111" s="2"/>
      <c r="Q111" s="2"/>
      <c r="R111" s="2"/>
      <c r="S111" s="2"/>
      <c r="T111" s="2"/>
      <c r="U111" s="2"/>
      <c r="V111" s="2"/>
      <c r="W111" s="2"/>
    </row>
    <row r="112" spans="12:23">
      <c r="L112" s="2"/>
      <c r="M112" s="2"/>
      <c r="N112" s="2"/>
      <c r="O112" s="2"/>
      <c r="P112" s="2"/>
      <c r="Q112" s="2"/>
      <c r="R112" s="2"/>
      <c r="S112" s="2"/>
      <c r="T112" s="2"/>
      <c r="U112" s="2"/>
      <c r="V112" s="2"/>
      <c r="W112" s="2"/>
    </row>
    <row r="113" spans="12:23">
      <c r="L113" s="2"/>
      <c r="M113" s="2"/>
      <c r="N113" s="2"/>
      <c r="O113" s="2"/>
      <c r="P113" s="2"/>
      <c r="Q113" s="2"/>
      <c r="R113" s="2"/>
      <c r="S113" s="2"/>
      <c r="T113" s="2"/>
      <c r="U113" s="2"/>
      <c r="V113" s="2"/>
      <c r="W113" s="2"/>
    </row>
    <row r="114" spans="12:23">
      <c r="L114" s="2"/>
      <c r="M114" s="2"/>
      <c r="N114" s="2"/>
      <c r="O114" s="2"/>
      <c r="P114" s="2"/>
      <c r="Q114" s="2"/>
      <c r="R114" s="2"/>
      <c r="S114" s="2"/>
      <c r="T114" s="2"/>
      <c r="U114" s="2"/>
      <c r="V114" s="2"/>
      <c r="W114" s="2"/>
    </row>
    <row r="115" spans="12:23">
      <c r="L115" s="2"/>
      <c r="M115" s="2"/>
      <c r="N115" s="2"/>
      <c r="O115" s="2"/>
      <c r="P115" s="2"/>
      <c r="Q115" s="2"/>
      <c r="R115" s="2"/>
      <c r="S115" s="2"/>
      <c r="T115" s="2"/>
      <c r="U115" s="2"/>
      <c r="V115" s="2"/>
      <c r="W115" s="2"/>
    </row>
    <row r="116" spans="12:23">
      <c r="L116" s="2"/>
      <c r="M116" s="2"/>
      <c r="N116" s="2"/>
      <c r="O116" s="2"/>
      <c r="P116" s="2"/>
      <c r="Q116" s="2"/>
      <c r="R116" s="2"/>
      <c r="S116" s="2"/>
      <c r="T116" s="2"/>
      <c r="U116" s="2"/>
      <c r="V116" s="2"/>
      <c r="W116" s="2"/>
    </row>
    <row r="117" spans="12:23">
      <c r="L117" s="2"/>
      <c r="M117" s="2"/>
      <c r="N117" s="2"/>
      <c r="O117" s="2"/>
      <c r="P117" s="2"/>
      <c r="Q117" s="2"/>
      <c r="R117" s="2"/>
      <c r="S117" s="2"/>
      <c r="T117" s="2"/>
      <c r="U117" s="2"/>
      <c r="V117" s="2"/>
      <c r="W117" s="2"/>
    </row>
    <row r="118" spans="12:23">
      <c r="L118" s="2"/>
      <c r="M118" s="2"/>
      <c r="N118" s="2"/>
      <c r="O118" s="2"/>
      <c r="P118" s="2"/>
      <c r="Q118" s="2"/>
      <c r="R118" s="2"/>
      <c r="S118" s="2"/>
      <c r="T118" s="2"/>
      <c r="U118" s="2"/>
      <c r="V118" s="2"/>
      <c r="W118" s="2"/>
    </row>
    <row r="119" spans="12:23">
      <c r="L119" s="2"/>
      <c r="M119" s="2"/>
      <c r="N119" s="2"/>
      <c r="O119" s="2"/>
      <c r="P119" s="2"/>
      <c r="Q119" s="2"/>
      <c r="R119" s="2"/>
      <c r="S119" s="2"/>
      <c r="T119" s="2"/>
      <c r="U119" s="2"/>
      <c r="V119" s="2"/>
      <c r="W119" s="2"/>
    </row>
    <row r="120" spans="12:23">
      <c r="L120" s="2"/>
      <c r="M120" s="2"/>
      <c r="N120" s="2"/>
      <c r="O120" s="2"/>
      <c r="P120" s="2"/>
      <c r="Q120" s="2"/>
      <c r="R120" s="2"/>
      <c r="S120" s="2"/>
      <c r="T120" s="2"/>
      <c r="U120" s="2"/>
      <c r="V120" s="2"/>
      <c r="W120" s="2"/>
    </row>
    <row r="121" spans="12:23">
      <c r="L121" s="2"/>
      <c r="M121" s="2"/>
      <c r="N121" s="2"/>
      <c r="O121" s="2"/>
      <c r="P121" s="2"/>
      <c r="Q121" s="2"/>
      <c r="R121" s="2"/>
      <c r="S121" s="2"/>
      <c r="T121" s="2"/>
      <c r="U121" s="2"/>
      <c r="V121" s="2"/>
      <c r="W121" s="2"/>
    </row>
    <row r="122" spans="12:23">
      <c r="L122" s="2"/>
      <c r="M122" s="2"/>
      <c r="N122" s="2"/>
      <c r="O122" s="2"/>
      <c r="P122" s="2"/>
      <c r="Q122" s="2"/>
      <c r="R122" s="2"/>
      <c r="S122" s="2"/>
      <c r="T122" s="2"/>
      <c r="U122" s="2"/>
      <c r="V122" s="2"/>
      <c r="W122" s="2"/>
    </row>
    <row r="123" spans="12:23">
      <c r="L123" s="2"/>
      <c r="M123" s="2"/>
      <c r="N123" s="2"/>
      <c r="O123" s="2"/>
      <c r="P123" s="2"/>
      <c r="Q123" s="2"/>
      <c r="R123" s="2"/>
      <c r="S123" s="2"/>
      <c r="T123" s="2"/>
      <c r="U123" s="2"/>
      <c r="V123" s="2"/>
      <c r="W123" s="2"/>
    </row>
    <row r="124" spans="12:23">
      <c r="L124" s="2"/>
      <c r="M124" s="2"/>
      <c r="N124" s="2"/>
      <c r="O124" s="2"/>
      <c r="P124" s="2"/>
      <c r="Q124" s="2"/>
      <c r="R124" s="2"/>
      <c r="S124" s="2"/>
      <c r="T124" s="2"/>
      <c r="U124" s="2"/>
      <c r="V124" s="2"/>
      <c r="W124" s="2"/>
    </row>
    <row r="125" spans="12:23">
      <c r="L125" s="2"/>
      <c r="M125" s="2"/>
      <c r="N125" s="2"/>
      <c r="O125" s="2"/>
      <c r="P125" s="2"/>
      <c r="Q125" s="2"/>
      <c r="R125" s="2"/>
      <c r="S125" s="2"/>
      <c r="T125" s="2"/>
      <c r="U125" s="2"/>
      <c r="V125" s="2"/>
      <c r="W125" s="2"/>
    </row>
    <row r="126" spans="12:23">
      <c r="L126" s="2"/>
      <c r="M126" s="2"/>
      <c r="N126" s="2"/>
      <c r="O126" s="2"/>
      <c r="P126" s="2"/>
      <c r="Q126" s="2"/>
      <c r="R126" s="2"/>
      <c r="S126" s="2"/>
      <c r="T126" s="2"/>
      <c r="U126" s="2"/>
      <c r="V126" s="2"/>
      <c r="W126" s="2"/>
    </row>
    <row r="127" spans="12:23">
      <c r="L127" s="2"/>
      <c r="M127" s="2"/>
      <c r="N127" s="2"/>
      <c r="O127" s="2"/>
      <c r="P127" s="2"/>
      <c r="Q127" s="2"/>
      <c r="R127" s="2"/>
      <c r="S127" s="2"/>
      <c r="T127" s="2"/>
      <c r="U127" s="2"/>
      <c r="V127" s="2"/>
      <c r="W127" s="2"/>
    </row>
    <row r="128" spans="12:23">
      <c r="L128" s="2"/>
      <c r="M128" s="2"/>
      <c r="N128" s="2"/>
      <c r="O128" s="2"/>
      <c r="P128" s="2"/>
      <c r="Q128" s="2"/>
      <c r="R128" s="2"/>
      <c r="S128" s="2"/>
      <c r="T128" s="2"/>
      <c r="U128" s="2"/>
      <c r="V128" s="2"/>
      <c r="W128" s="2"/>
    </row>
    <row r="129" spans="12:23">
      <c r="L129" s="2"/>
      <c r="M129" s="2"/>
      <c r="N129" s="2"/>
      <c r="O129" s="2"/>
      <c r="P129" s="2"/>
      <c r="Q129" s="2"/>
      <c r="R129" s="2"/>
      <c r="S129" s="2"/>
      <c r="T129" s="2"/>
      <c r="U129" s="2"/>
      <c r="V129" s="2"/>
      <c r="W129" s="2"/>
    </row>
    <row r="130" spans="12:23">
      <c r="L130" s="2"/>
      <c r="M130" s="2"/>
      <c r="N130" s="2"/>
      <c r="O130" s="2"/>
      <c r="P130" s="2"/>
      <c r="Q130" s="2"/>
      <c r="R130" s="2"/>
      <c r="S130" s="2"/>
      <c r="T130" s="2"/>
      <c r="U130" s="2"/>
      <c r="V130" s="2"/>
      <c r="W130" s="2"/>
    </row>
    <row r="131" spans="12:23">
      <c r="L131" s="2"/>
      <c r="M131" s="2"/>
      <c r="N131" s="2"/>
      <c r="O131" s="2"/>
      <c r="P131" s="2"/>
      <c r="Q131" s="2"/>
      <c r="R131" s="2"/>
      <c r="S131" s="2"/>
      <c r="T131" s="2"/>
      <c r="U131" s="2"/>
      <c r="V131" s="2"/>
      <c r="W131" s="2"/>
    </row>
    <row r="132" spans="12:23">
      <c r="L132" s="2"/>
      <c r="M132" s="2"/>
      <c r="N132" s="2"/>
      <c r="O132" s="2"/>
      <c r="P132" s="2"/>
      <c r="Q132" s="2"/>
      <c r="R132" s="2"/>
      <c r="S132" s="2"/>
      <c r="T132" s="2"/>
      <c r="U132" s="2"/>
      <c r="V132" s="2"/>
      <c r="W132" s="2"/>
    </row>
    <row r="133" spans="12:23">
      <c r="L133" s="2"/>
      <c r="M133" s="2"/>
      <c r="N133" s="2"/>
      <c r="O133" s="2"/>
      <c r="P133" s="2"/>
      <c r="Q133" s="2"/>
      <c r="R133" s="2"/>
      <c r="S133" s="2"/>
      <c r="T133" s="2"/>
      <c r="U133" s="2"/>
      <c r="V133" s="2"/>
      <c r="W133" s="2"/>
    </row>
    <row r="134" spans="12:23">
      <c r="L134" s="2"/>
      <c r="M134" s="2"/>
      <c r="N134" s="2"/>
      <c r="O134" s="2"/>
      <c r="P134" s="2"/>
      <c r="Q134" s="2"/>
      <c r="R134" s="2"/>
      <c r="S134" s="2"/>
      <c r="T134" s="2"/>
      <c r="U134" s="2"/>
      <c r="V134" s="2"/>
      <c r="W134" s="2"/>
    </row>
    <row r="135" spans="12:23">
      <c r="L135" s="2"/>
      <c r="M135" s="2"/>
      <c r="N135" s="2"/>
      <c r="O135" s="2"/>
      <c r="P135" s="2"/>
      <c r="Q135" s="2"/>
      <c r="R135" s="2"/>
      <c r="S135" s="2"/>
      <c r="T135" s="2"/>
      <c r="U135" s="2"/>
      <c r="V135" s="2"/>
      <c r="W135" s="2"/>
    </row>
    <row r="136" spans="12:23">
      <c r="L136" s="2"/>
      <c r="M136" s="2"/>
      <c r="N136" s="2"/>
      <c r="O136" s="2"/>
      <c r="P136" s="2"/>
      <c r="Q136" s="2"/>
      <c r="R136" s="2"/>
      <c r="S136" s="2"/>
      <c r="T136" s="2"/>
      <c r="U136" s="2"/>
      <c r="V136" s="2"/>
      <c r="W136" s="2"/>
    </row>
    <row r="137" spans="12:23">
      <c r="L137" s="2"/>
      <c r="M137" s="2"/>
      <c r="N137" s="2"/>
      <c r="O137" s="2"/>
      <c r="P137" s="2"/>
      <c r="Q137" s="2"/>
      <c r="R137" s="2"/>
      <c r="S137" s="2"/>
      <c r="T137" s="2"/>
      <c r="U137" s="2"/>
      <c r="V137" s="2"/>
      <c r="W137" s="2"/>
    </row>
    <row r="138" spans="12:23">
      <c r="L138" s="2"/>
      <c r="M138" s="2"/>
      <c r="N138" s="2"/>
      <c r="O138" s="2"/>
      <c r="P138" s="2"/>
      <c r="Q138" s="2"/>
      <c r="R138" s="2"/>
      <c r="S138" s="2"/>
      <c r="T138" s="2"/>
      <c r="U138" s="2"/>
      <c r="V138" s="2"/>
      <c r="W138" s="2"/>
    </row>
    <row r="139" spans="12:23">
      <c r="L139" s="2"/>
      <c r="M139" s="2"/>
      <c r="N139" s="2"/>
      <c r="O139" s="2"/>
      <c r="P139" s="2"/>
      <c r="Q139" s="2"/>
      <c r="R139" s="2"/>
      <c r="S139" s="2"/>
      <c r="T139" s="2"/>
      <c r="U139" s="2"/>
      <c r="V139" s="2"/>
      <c r="W139" s="2"/>
    </row>
    <row r="140" spans="12:23">
      <c r="L140" s="2"/>
      <c r="M140" s="2"/>
      <c r="N140" s="2"/>
      <c r="O140" s="2"/>
      <c r="P140" s="2"/>
      <c r="Q140" s="2"/>
      <c r="R140" s="2"/>
      <c r="S140" s="2"/>
      <c r="T140" s="2"/>
      <c r="U140" s="2"/>
      <c r="V140" s="2"/>
      <c r="W140" s="2"/>
    </row>
    <row r="141" spans="12:23">
      <c r="L141" s="2"/>
      <c r="M141" s="2"/>
      <c r="N141" s="2"/>
      <c r="O141" s="2"/>
      <c r="P141" s="2"/>
      <c r="Q141" s="2"/>
      <c r="R141" s="2"/>
      <c r="S141" s="2"/>
      <c r="T141" s="2"/>
      <c r="U141" s="2"/>
      <c r="V141" s="2"/>
      <c r="W141" s="2"/>
    </row>
    <row r="142" spans="12:23">
      <c r="L142" s="2"/>
      <c r="M142" s="2"/>
      <c r="N142" s="2"/>
      <c r="O142" s="2"/>
      <c r="P142" s="2"/>
      <c r="Q142" s="2"/>
      <c r="R142" s="2"/>
      <c r="S142" s="2"/>
      <c r="T142" s="2"/>
      <c r="U142" s="2"/>
      <c r="V142" s="2"/>
      <c r="W142" s="2"/>
    </row>
    <row r="143" spans="12:23">
      <c r="L143" s="2"/>
      <c r="M143" s="2"/>
      <c r="N143" s="2"/>
      <c r="O143" s="2"/>
      <c r="P143" s="2"/>
      <c r="Q143" s="2"/>
      <c r="R143" s="2"/>
      <c r="S143" s="2"/>
      <c r="T143" s="2"/>
      <c r="U143" s="2"/>
      <c r="V143" s="2"/>
      <c r="W143" s="2"/>
    </row>
    <row r="144" spans="12:23">
      <c r="L144" s="2"/>
      <c r="M144" s="2"/>
      <c r="N144" s="2"/>
      <c r="O144" s="2"/>
      <c r="P144" s="2"/>
      <c r="Q144" s="2"/>
      <c r="R144" s="2"/>
      <c r="S144" s="2"/>
      <c r="T144" s="2"/>
      <c r="U144" s="2"/>
      <c r="V144" s="2"/>
      <c r="W144" s="2"/>
    </row>
    <row r="145" spans="12:23">
      <c r="L145" s="2"/>
      <c r="M145" s="2"/>
      <c r="N145" s="2"/>
      <c r="O145" s="2"/>
      <c r="P145" s="2"/>
      <c r="Q145" s="2"/>
      <c r="R145" s="2"/>
      <c r="S145" s="2"/>
      <c r="T145" s="2"/>
      <c r="U145" s="2"/>
      <c r="V145" s="2"/>
      <c r="W145" s="2"/>
    </row>
    <row r="146" spans="12:23">
      <c r="L146" s="2"/>
      <c r="M146" s="2"/>
      <c r="N146" s="2"/>
      <c r="O146" s="2"/>
      <c r="P146" s="2"/>
      <c r="Q146" s="2"/>
      <c r="R146" s="2"/>
      <c r="S146" s="2"/>
      <c r="T146" s="2"/>
      <c r="U146" s="2"/>
      <c r="V146" s="2"/>
      <c r="W146" s="2"/>
    </row>
    <row r="147" spans="12:23">
      <c r="L147" s="2"/>
      <c r="M147" s="2"/>
      <c r="N147" s="2"/>
      <c r="O147" s="2"/>
      <c r="P147" s="2"/>
      <c r="Q147" s="2"/>
      <c r="R147" s="2"/>
      <c r="S147" s="2"/>
      <c r="T147" s="2"/>
      <c r="U147" s="2"/>
      <c r="V147" s="2"/>
      <c r="W147" s="2"/>
    </row>
    <row r="148" spans="12:23">
      <c r="L148" s="2"/>
      <c r="M148" s="2"/>
      <c r="N148" s="2"/>
      <c r="O148" s="2"/>
      <c r="P148" s="2"/>
      <c r="Q148" s="2"/>
      <c r="R148" s="2"/>
      <c r="S148" s="2"/>
      <c r="T148" s="2"/>
      <c r="U148" s="2"/>
      <c r="V148" s="2"/>
      <c r="W148" s="2"/>
    </row>
    <row r="149" spans="12:23">
      <c r="L149" s="2"/>
      <c r="M149" s="2"/>
      <c r="N149" s="2"/>
      <c r="O149" s="2"/>
      <c r="P149" s="2"/>
      <c r="Q149" s="2"/>
      <c r="R149" s="2"/>
      <c r="S149" s="2"/>
      <c r="T149" s="2"/>
      <c r="U149" s="2"/>
      <c r="V149" s="2"/>
      <c r="W149" s="2"/>
    </row>
    <row r="150" spans="12:23">
      <c r="L150" s="2"/>
      <c r="M150" s="2"/>
      <c r="N150" s="2"/>
      <c r="O150" s="2"/>
      <c r="P150" s="2"/>
      <c r="Q150" s="2"/>
      <c r="R150" s="2"/>
      <c r="S150" s="2"/>
      <c r="T150" s="2"/>
      <c r="U150" s="2"/>
      <c r="V150" s="2"/>
      <c r="W150" s="2"/>
    </row>
    <row r="151" spans="12:23">
      <c r="L151" s="2"/>
      <c r="M151" s="2"/>
      <c r="N151" s="2"/>
      <c r="O151" s="2"/>
      <c r="P151" s="2"/>
      <c r="Q151" s="2"/>
      <c r="R151" s="2"/>
      <c r="S151" s="2"/>
      <c r="T151" s="2"/>
      <c r="U151" s="2"/>
      <c r="V151" s="2"/>
      <c r="W151" s="2"/>
    </row>
    <row r="152" spans="12:23">
      <c r="L152" s="2"/>
      <c r="M152" s="2"/>
      <c r="N152" s="2"/>
      <c r="O152" s="2"/>
      <c r="P152" s="2"/>
      <c r="Q152" s="2"/>
      <c r="R152" s="2"/>
      <c r="S152" s="2"/>
      <c r="T152" s="2"/>
      <c r="U152" s="2"/>
      <c r="V152" s="2"/>
      <c r="W152" s="2"/>
    </row>
    <row r="153" spans="12:23">
      <c r="L153" s="2"/>
      <c r="M153" s="2"/>
      <c r="N153" s="2"/>
      <c r="O153" s="2"/>
      <c r="P153" s="2"/>
      <c r="Q153" s="2"/>
      <c r="R153" s="2"/>
      <c r="S153" s="2"/>
      <c r="T153" s="2"/>
      <c r="U153" s="2"/>
      <c r="V153" s="2"/>
      <c r="W153" s="2"/>
    </row>
    <row r="154" spans="12:23">
      <c r="L154" s="2"/>
      <c r="M154" s="2"/>
      <c r="N154" s="2"/>
      <c r="O154" s="2"/>
      <c r="P154" s="2"/>
      <c r="Q154" s="2"/>
      <c r="R154" s="2"/>
      <c r="S154" s="2"/>
      <c r="T154" s="2"/>
      <c r="U154" s="2"/>
      <c r="V154" s="2"/>
      <c r="W154" s="2"/>
    </row>
    <row r="155" spans="12:23">
      <c r="L155" s="2"/>
      <c r="M155" s="2"/>
      <c r="N155" s="2"/>
      <c r="O155" s="2"/>
      <c r="P155" s="2"/>
      <c r="Q155" s="2"/>
      <c r="R155" s="2"/>
      <c r="S155" s="2"/>
      <c r="T155" s="2"/>
      <c r="U155" s="2"/>
      <c r="V155" s="2"/>
      <c r="W155" s="2"/>
    </row>
    <row r="156" spans="12:23">
      <c r="L156" s="2"/>
      <c r="M156" s="2"/>
      <c r="N156" s="2"/>
      <c r="O156" s="2"/>
      <c r="P156" s="2"/>
      <c r="Q156" s="2"/>
      <c r="R156" s="2"/>
      <c r="S156" s="2"/>
      <c r="T156" s="2"/>
      <c r="U156" s="2"/>
      <c r="V156" s="2"/>
      <c r="W156" s="2"/>
    </row>
    <row r="157" spans="12:23">
      <c r="L157" s="2"/>
      <c r="M157" s="2"/>
      <c r="N157" s="2"/>
      <c r="O157" s="2"/>
      <c r="P157" s="2"/>
      <c r="Q157" s="2"/>
      <c r="R157" s="2"/>
      <c r="S157" s="2"/>
      <c r="T157" s="2"/>
      <c r="U157" s="2"/>
      <c r="V157" s="2"/>
      <c r="W157" s="2"/>
    </row>
    <row r="158" spans="12:23">
      <c r="L158" s="2"/>
      <c r="M158" s="2"/>
      <c r="N158" s="2"/>
      <c r="O158" s="2"/>
      <c r="P158" s="2"/>
      <c r="Q158" s="2"/>
      <c r="R158" s="2"/>
      <c r="S158" s="2"/>
      <c r="T158" s="2"/>
      <c r="U158" s="2"/>
      <c r="V158" s="2"/>
      <c r="W158" s="2"/>
    </row>
    <row r="159" spans="12:23">
      <c r="L159" s="2"/>
      <c r="M159" s="2"/>
      <c r="N159" s="2"/>
      <c r="O159" s="2"/>
      <c r="P159" s="2"/>
      <c r="Q159" s="2"/>
      <c r="R159" s="2"/>
      <c r="S159" s="2"/>
      <c r="T159" s="2"/>
      <c r="U159" s="2"/>
      <c r="V159" s="2"/>
      <c r="W159" s="2"/>
    </row>
    <row r="160" spans="12:23">
      <c r="L160" s="2"/>
      <c r="M160" s="2"/>
      <c r="N160" s="2"/>
      <c r="O160" s="2"/>
      <c r="P160" s="2"/>
      <c r="Q160" s="2"/>
      <c r="R160" s="2"/>
      <c r="S160" s="2"/>
      <c r="T160" s="2"/>
      <c r="U160" s="2"/>
      <c r="V160" s="2"/>
      <c r="W160" s="2"/>
    </row>
    <row r="161" spans="12:23">
      <c r="L161" s="2"/>
      <c r="M161" s="2"/>
      <c r="N161" s="2"/>
      <c r="O161" s="2"/>
      <c r="P161" s="2"/>
      <c r="Q161" s="2"/>
      <c r="R161" s="2"/>
      <c r="S161" s="2"/>
      <c r="T161" s="2"/>
      <c r="U161" s="2"/>
      <c r="V161" s="2"/>
      <c r="W161" s="2"/>
    </row>
    <row r="162" spans="12:23">
      <c r="L162" s="2"/>
      <c r="M162" s="2"/>
      <c r="N162" s="2"/>
      <c r="O162" s="2"/>
      <c r="P162" s="2"/>
      <c r="Q162" s="2"/>
      <c r="R162" s="2"/>
      <c r="S162" s="2"/>
      <c r="T162" s="2"/>
      <c r="U162" s="2"/>
      <c r="V162" s="2"/>
      <c r="W162" s="2"/>
    </row>
    <row r="163" spans="12:23">
      <c r="L163" s="2"/>
      <c r="M163" s="2"/>
      <c r="N163" s="2"/>
      <c r="O163" s="2"/>
      <c r="P163" s="2"/>
      <c r="Q163" s="2"/>
      <c r="R163" s="2"/>
      <c r="S163" s="2"/>
      <c r="T163" s="2"/>
      <c r="U163" s="2"/>
      <c r="V163" s="2"/>
      <c r="W163" s="2"/>
    </row>
    <row r="164" spans="12:23">
      <c r="L164" s="2"/>
      <c r="M164" s="2"/>
      <c r="N164" s="2"/>
      <c r="O164" s="2"/>
      <c r="P164" s="2"/>
      <c r="Q164" s="2"/>
      <c r="R164" s="2"/>
      <c r="S164" s="2"/>
      <c r="T164" s="2"/>
      <c r="U164" s="2"/>
      <c r="V164" s="2"/>
      <c r="W164" s="2"/>
    </row>
    <row r="165" spans="12:23">
      <c r="L165" s="2"/>
      <c r="M165" s="2"/>
      <c r="N165" s="2"/>
      <c r="O165" s="2"/>
      <c r="P165" s="2"/>
      <c r="Q165" s="2"/>
      <c r="R165" s="2"/>
      <c r="S165" s="2"/>
      <c r="T165" s="2"/>
      <c r="U165" s="2"/>
      <c r="V165" s="2"/>
      <c r="W165" s="2"/>
    </row>
    <row r="166" spans="12:23">
      <c r="L166" s="2"/>
      <c r="M166" s="2"/>
      <c r="N166" s="2"/>
      <c r="O166" s="2"/>
      <c r="P166" s="2"/>
      <c r="Q166" s="2"/>
      <c r="R166" s="2"/>
      <c r="S166" s="2"/>
      <c r="T166" s="2"/>
      <c r="U166" s="2"/>
      <c r="V166" s="2"/>
      <c r="W166" s="2"/>
    </row>
    <row r="167" spans="12:23">
      <c r="L167" s="2"/>
      <c r="M167" s="2"/>
      <c r="N167" s="2"/>
      <c r="O167" s="2"/>
      <c r="P167" s="2"/>
      <c r="Q167" s="2"/>
      <c r="R167" s="2"/>
      <c r="S167" s="2"/>
      <c r="T167" s="2"/>
      <c r="U167" s="2"/>
      <c r="V167" s="2"/>
      <c r="W167" s="2"/>
    </row>
    <row r="168" spans="12:23">
      <c r="L168" s="2"/>
      <c r="M168" s="2"/>
      <c r="N168" s="2"/>
      <c r="O168" s="2"/>
      <c r="P168" s="2"/>
      <c r="Q168" s="2"/>
      <c r="R168" s="2"/>
      <c r="S168" s="2"/>
      <c r="T168" s="2"/>
      <c r="U168" s="2"/>
      <c r="V168" s="2"/>
      <c r="W168" s="2"/>
    </row>
    <row r="169" spans="12:23">
      <c r="L169" s="2"/>
      <c r="M169" s="2"/>
      <c r="N169" s="2"/>
      <c r="O169" s="2"/>
      <c r="P169" s="2"/>
      <c r="Q169" s="2"/>
      <c r="R169" s="2"/>
      <c r="S169" s="2"/>
      <c r="T169" s="2"/>
      <c r="U169" s="2"/>
      <c r="V169" s="2"/>
      <c r="W169" s="2"/>
    </row>
    <row r="170" spans="12:23">
      <c r="L170" s="2"/>
      <c r="M170" s="2"/>
      <c r="N170" s="2"/>
      <c r="O170" s="2"/>
      <c r="P170" s="2"/>
      <c r="Q170" s="2"/>
      <c r="R170" s="2"/>
      <c r="S170" s="2"/>
      <c r="T170" s="2"/>
      <c r="U170" s="2"/>
      <c r="V170" s="2"/>
      <c r="W170" s="2"/>
    </row>
    <row r="171" spans="12:23">
      <c r="L171" s="2"/>
      <c r="M171" s="2"/>
      <c r="N171" s="2"/>
      <c r="O171" s="2"/>
      <c r="P171" s="2"/>
      <c r="Q171" s="2"/>
      <c r="R171" s="2"/>
      <c r="S171" s="2"/>
      <c r="T171" s="2"/>
      <c r="U171" s="2"/>
      <c r="V171" s="2"/>
      <c r="W171" s="2"/>
    </row>
    <row r="172" spans="12:23">
      <c r="L172" s="2"/>
      <c r="M172" s="2"/>
      <c r="N172" s="2"/>
      <c r="O172" s="2"/>
      <c r="P172" s="2"/>
      <c r="Q172" s="2"/>
      <c r="R172" s="2"/>
      <c r="S172" s="2"/>
      <c r="T172" s="2"/>
      <c r="U172" s="2"/>
      <c r="V172" s="2"/>
      <c r="W172" s="2"/>
    </row>
    <row r="173" spans="12:23">
      <c r="L173" s="2"/>
      <c r="M173" s="2"/>
      <c r="N173" s="2"/>
      <c r="O173" s="2"/>
      <c r="P173" s="2"/>
      <c r="Q173" s="2"/>
      <c r="R173" s="2"/>
      <c r="S173" s="2"/>
      <c r="T173" s="2"/>
      <c r="U173" s="2"/>
      <c r="V173" s="2"/>
      <c r="W173" s="2"/>
    </row>
    <row r="174" spans="12:23">
      <c r="L174" s="2"/>
      <c r="M174" s="2"/>
      <c r="N174" s="2"/>
      <c r="O174" s="2"/>
      <c r="P174" s="2"/>
      <c r="Q174" s="2"/>
      <c r="R174" s="2"/>
      <c r="S174" s="2"/>
      <c r="T174" s="2"/>
      <c r="U174" s="2"/>
      <c r="V174" s="2"/>
      <c r="W174" s="2"/>
    </row>
    <row r="175" spans="12:23">
      <c r="L175" s="2"/>
      <c r="M175" s="2"/>
      <c r="N175" s="2"/>
      <c r="O175" s="2"/>
      <c r="P175" s="2"/>
      <c r="Q175" s="2"/>
      <c r="R175" s="2"/>
      <c r="S175" s="2"/>
      <c r="T175" s="2"/>
      <c r="U175" s="2"/>
      <c r="V175" s="2"/>
      <c r="W175" s="2"/>
    </row>
    <row r="176" spans="12:23">
      <c r="L176" s="2"/>
      <c r="M176" s="2"/>
      <c r="N176" s="2"/>
      <c r="O176" s="2"/>
      <c r="P176" s="2"/>
      <c r="Q176" s="2"/>
      <c r="R176" s="2"/>
      <c r="S176" s="2"/>
      <c r="T176" s="2"/>
      <c r="U176" s="2"/>
      <c r="V176" s="2"/>
      <c r="W176" s="2"/>
    </row>
    <row r="177" spans="12:23">
      <c r="L177" s="2"/>
      <c r="M177" s="2"/>
      <c r="N177" s="2"/>
      <c r="O177" s="2"/>
      <c r="P177" s="2"/>
      <c r="Q177" s="2"/>
      <c r="R177" s="2"/>
      <c r="S177" s="2"/>
      <c r="T177" s="2"/>
      <c r="U177" s="2"/>
      <c r="V177" s="2"/>
      <c r="W177" s="2"/>
    </row>
    <row r="178" spans="12:23">
      <c r="L178" s="2"/>
      <c r="M178" s="2"/>
      <c r="N178" s="2"/>
      <c r="O178" s="2"/>
      <c r="P178" s="2"/>
      <c r="Q178" s="2"/>
      <c r="R178" s="2"/>
      <c r="S178" s="2"/>
      <c r="T178" s="2"/>
      <c r="U178" s="2"/>
      <c r="V178" s="2"/>
      <c r="W178" s="2"/>
    </row>
    <row r="179" spans="12:23">
      <c r="L179" s="2"/>
      <c r="M179" s="2"/>
      <c r="N179" s="2"/>
      <c r="O179" s="2"/>
      <c r="P179" s="2"/>
      <c r="Q179" s="2"/>
      <c r="R179" s="2"/>
      <c r="S179" s="2"/>
      <c r="T179" s="2"/>
      <c r="U179" s="2"/>
      <c r="V179" s="2"/>
      <c r="W179" s="2"/>
    </row>
    <row r="180" spans="12:23">
      <c r="L180" s="2"/>
      <c r="M180" s="2"/>
      <c r="N180" s="2"/>
      <c r="O180" s="2"/>
      <c r="P180" s="2"/>
      <c r="Q180" s="2"/>
      <c r="R180" s="2"/>
      <c r="S180" s="2"/>
      <c r="T180" s="2"/>
      <c r="U180" s="2"/>
      <c r="V180" s="2"/>
      <c r="W180" s="2"/>
    </row>
    <row r="181" spans="12:23">
      <c r="L181" s="2"/>
      <c r="M181" s="2"/>
      <c r="N181" s="2"/>
      <c r="O181" s="2"/>
      <c r="P181" s="2"/>
      <c r="Q181" s="2"/>
      <c r="R181" s="2"/>
      <c r="S181" s="2"/>
      <c r="T181" s="2"/>
      <c r="U181" s="2"/>
      <c r="V181" s="2"/>
      <c r="W181" s="2"/>
    </row>
    <row r="182" spans="12:23">
      <c r="L182" s="2"/>
      <c r="M182" s="2"/>
      <c r="N182" s="2"/>
      <c r="O182" s="2"/>
      <c r="P182" s="2"/>
      <c r="Q182" s="2"/>
      <c r="R182" s="2"/>
      <c r="S182" s="2"/>
      <c r="T182" s="2"/>
      <c r="U182" s="2"/>
      <c r="V182" s="2"/>
      <c r="W182" s="2"/>
    </row>
    <row r="183" spans="12:23">
      <c r="L183" s="2"/>
      <c r="M183" s="2"/>
      <c r="N183" s="2"/>
      <c r="O183" s="2"/>
      <c r="P183" s="2"/>
      <c r="Q183" s="2"/>
      <c r="R183" s="2"/>
      <c r="S183" s="2"/>
      <c r="T183" s="2"/>
      <c r="U183" s="2"/>
      <c r="V183" s="2"/>
      <c r="W183" s="2"/>
    </row>
    <row r="184" spans="12:23">
      <c r="L184" s="2"/>
      <c r="M184" s="2"/>
      <c r="N184" s="2"/>
      <c r="O184" s="2"/>
      <c r="P184" s="2"/>
      <c r="Q184" s="2"/>
      <c r="R184" s="2"/>
      <c r="S184" s="2"/>
      <c r="T184" s="2"/>
      <c r="U184" s="2"/>
      <c r="V184" s="2"/>
      <c r="W184" s="2"/>
    </row>
    <row r="185" spans="12:23">
      <c r="L185" s="2"/>
      <c r="M185" s="2"/>
      <c r="N185" s="2"/>
      <c r="O185" s="2"/>
      <c r="P185" s="2"/>
      <c r="Q185" s="2"/>
      <c r="R185" s="2"/>
      <c r="S185" s="2"/>
      <c r="T185" s="2"/>
      <c r="U185" s="2"/>
      <c r="V185" s="2"/>
      <c r="W185" s="2"/>
    </row>
    <row r="186" spans="12:23">
      <c r="L186" s="2"/>
      <c r="M186" s="2"/>
      <c r="N186" s="2"/>
      <c r="O186" s="2"/>
      <c r="P186" s="2"/>
      <c r="Q186" s="2"/>
      <c r="R186" s="2"/>
      <c r="S186" s="2"/>
      <c r="T186" s="2"/>
      <c r="U186" s="2"/>
      <c r="V186" s="2"/>
      <c r="W186" s="2"/>
    </row>
    <row r="187" spans="12:23">
      <c r="L187" s="2"/>
      <c r="M187" s="2"/>
      <c r="N187" s="2"/>
      <c r="O187" s="2"/>
      <c r="P187" s="2"/>
      <c r="Q187" s="2"/>
      <c r="R187" s="2"/>
      <c r="S187" s="2"/>
      <c r="T187" s="2"/>
      <c r="U187" s="2"/>
      <c r="V187" s="2"/>
      <c r="W187" s="2"/>
    </row>
    <row r="188" spans="12:23">
      <c r="L188" s="2"/>
      <c r="M188" s="2"/>
      <c r="N188" s="2"/>
      <c r="O188" s="2"/>
      <c r="P188" s="2"/>
      <c r="Q188" s="2"/>
      <c r="R188" s="2"/>
      <c r="S188" s="2"/>
      <c r="T188" s="2"/>
      <c r="U188" s="2"/>
      <c r="V188" s="2"/>
      <c r="W188" s="2"/>
    </row>
    <row r="189" spans="12:23">
      <c r="L189" s="2"/>
      <c r="M189" s="2"/>
      <c r="N189" s="2"/>
      <c r="O189" s="2"/>
      <c r="P189" s="2"/>
      <c r="Q189" s="2"/>
      <c r="R189" s="2"/>
      <c r="S189" s="2"/>
      <c r="T189" s="2"/>
      <c r="U189" s="2"/>
      <c r="V189" s="2"/>
      <c r="W189" s="2"/>
    </row>
    <row r="190" spans="12:23">
      <c r="L190" s="2"/>
      <c r="M190" s="2"/>
      <c r="N190" s="2"/>
      <c r="O190" s="2"/>
      <c r="P190" s="2"/>
      <c r="Q190" s="2"/>
      <c r="R190" s="2"/>
      <c r="S190" s="2"/>
      <c r="T190" s="2"/>
      <c r="U190" s="2"/>
      <c r="V190" s="2"/>
      <c r="W190" s="2"/>
    </row>
    <row r="191" spans="12:23">
      <c r="L191" s="2"/>
      <c r="M191" s="2"/>
      <c r="N191" s="2"/>
      <c r="O191" s="2"/>
      <c r="P191" s="2"/>
      <c r="Q191" s="2"/>
      <c r="R191" s="2"/>
      <c r="S191" s="2"/>
      <c r="T191" s="2"/>
      <c r="U191" s="2"/>
      <c r="V191" s="2"/>
      <c r="W191" s="2"/>
    </row>
    <row r="192" spans="12:23">
      <c r="L192" s="2"/>
      <c r="M192" s="2"/>
      <c r="N192" s="2"/>
      <c r="O192" s="2"/>
      <c r="P192" s="2"/>
      <c r="Q192" s="2"/>
      <c r="R192" s="2"/>
      <c r="S192" s="2"/>
      <c r="T192" s="2"/>
      <c r="U192" s="2"/>
      <c r="V192" s="2"/>
      <c r="W192" s="2"/>
    </row>
    <row r="193" spans="12:23">
      <c r="L193" s="2"/>
      <c r="M193" s="2"/>
      <c r="N193" s="2"/>
      <c r="O193" s="2"/>
      <c r="P193" s="2"/>
      <c r="Q193" s="2"/>
      <c r="R193" s="2"/>
      <c r="S193" s="2"/>
      <c r="T193" s="2"/>
      <c r="U193" s="2"/>
      <c r="V193" s="2"/>
      <c r="W193" s="2"/>
    </row>
    <row r="194" spans="12:23">
      <c r="L194" s="2"/>
      <c r="M194" s="2"/>
      <c r="N194" s="2"/>
      <c r="O194" s="2"/>
      <c r="P194" s="2"/>
      <c r="Q194" s="2"/>
      <c r="R194" s="2"/>
      <c r="S194" s="2"/>
      <c r="T194" s="2"/>
      <c r="U194" s="2"/>
      <c r="V194" s="2"/>
      <c r="W194" s="2"/>
    </row>
    <row r="195" spans="12:23">
      <c r="L195" s="2"/>
      <c r="M195" s="2"/>
      <c r="N195" s="2"/>
      <c r="O195" s="2"/>
      <c r="P195" s="2"/>
      <c r="Q195" s="2"/>
      <c r="R195" s="2"/>
      <c r="S195" s="2"/>
      <c r="T195" s="2"/>
      <c r="U195" s="2"/>
      <c r="V195" s="2"/>
      <c r="W195" s="2"/>
    </row>
    <row r="196" spans="12:23">
      <c r="L196" s="2"/>
      <c r="M196" s="2"/>
      <c r="N196" s="2"/>
      <c r="O196" s="2"/>
      <c r="P196" s="2"/>
      <c r="Q196" s="2"/>
      <c r="R196" s="2"/>
      <c r="S196" s="2"/>
      <c r="T196" s="2"/>
      <c r="U196" s="2"/>
      <c r="V196" s="2"/>
      <c r="W196" s="2"/>
    </row>
    <row r="197" spans="12:23">
      <c r="L197" s="2"/>
      <c r="M197" s="2"/>
      <c r="N197" s="2"/>
      <c r="O197" s="2"/>
      <c r="P197" s="2"/>
      <c r="Q197" s="2"/>
      <c r="R197" s="2"/>
      <c r="S197" s="2"/>
      <c r="T197" s="2"/>
      <c r="U197" s="2"/>
      <c r="V197" s="2"/>
      <c r="W197" s="2"/>
    </row>
    <row r="198" spans="12:23">
      <c r="L198" s="2"/>
      <c r="M198" s="2"/>
      <c r="N198" s="2"/>
      <c r="O198" s="2"/>
      <c r="P198" s="2"/>
      <c r="Q198" s="2"/>
      <c r="R198" s="2"/>
      <c r="S198" s="2"/>
      <c r="T198" s="2"/>
      <c r="U198" s="2"/>
      <c r="V198" s="2"/>
      <c r="W198" s="2"/>
    </row>
    <row r="199" spans="12:23">
      <c r="L199" s="2"/>
      <c r="M199" s="2"/>
      <c r="N199" s="2"/>
      <c r="O199" s="2"/>
      <c r="P199" s="2"/>
      <c r="Q199" s="2"/>
      <c r="R199" s="2"/>
      <c r="S199" s="2"/>
      <c r="T199" s="2"/>
      <c r="U199" s="2"/>
      <c r="V199" s="2"/>
      <c r="W199" s="2"/>
    </row>
    <row r="200" spans="12:23">
      <c r="L200" s="2"/>
      <c r="M200" s="2"/>
      <c r="N200" s="2"/>
      <c r="O200" s="2"/>
      <c r="P200" s="2"/>
      <c r="Q200" s="2"/>
      <c r="R200" s="2"/>
      <c r="S200" s="2"/>
      <c r="T200" s="2"/>
      <c r="U200" s="2"/>
      <c r="V200" s="2"/>
      <c r="W200" s="2"/>
    </row>
    <row r="201" spans="12:23">
      <c r="L201" s="2"/>
      <c r="M201" s="2"/>
      <c r="N201" s="2"/>
      <c r="O201" s="2"/>
      <c r="P201" s="2"/>
      <c r="Q201" s="2"/>
      <c r="R201" s="2"/>
      <c r="S201" s="2"/>
      <c r="T201" s="2"/>
      <c r="U201" s="2"/>
      <c r="V201" s="2"/>
      <c r="W201" s="2"/>
    </row>
    <row r="202" spans="12:23">
      <c r="L202" s="2"/>
      <c r="M202" s="2"/>
      <c r="N202" s="2"/>
      <c r="O202" s="2"/>
      <c r="P202" s="2"/>
      <c r="Q202" s="2"/>
      <c r="R202" s="2"/>
      <c r="S202" s="2"/>
      <c r="T202" s="2"/>
      <c r="U202" s="2"/>
      <c r="V202" s="2"/>
      <c r="W202" s="2"/>
    </row>
    <row r="203" spans="12:23">
      <c r="L203" s="2"/>
      <c r="M203" s="2"/>
      <c r="N203" s="2"/>
      <c r="O203" s="2"/>
      <c r="P203" s="2"/>
      <c r="Q203" s="2"/>
      <c r="R203" s="2"/>
      <c r="S203" s="2"/>
      <c r="T203" s="2"/>
      <c r="U203" s="2"/>
      <c r="V203" s="2"/>
      <c r="W203" s="2"/>
    </row>
    <row r="204" spans="12:23">
      <c r="L204" s="2"/>
      <c r="M204" s="2"/>
      <c r="N204" s="2"/>
      <c r="O204" s="2"/>
      <c r="P204" s="2"/>
      <c r="Q204" s="2"/>
      <c r="R204" s="2"/>
      <c r="S204" s="2"/>
      <c r="T204" s="2"/>
      <c r="U204" s="2"/>
      <c r="V204" s="2"/>
      <c r="W204" s="2"/>
    </row>
    <row r="205" spans="12:23">
      <c r="L205" s="2"/>
      <c r="M205" s="2"/>
      <c r="N205" s="2"/>
      <c r="O205" s="2"/>
      <c r="P205" s="2"/>
      <c r="Q205" s="2"/>
      <c r="R205" s="2"/>
      <c r="S205" s="2"/>
      <c r="T205" s="2"/>
      <c r="U205" s="2"/>
      <c r="V205" s="2"/>
      <c r="W205" s="2"/>
    </row>
    <row r="206" spans="12:23">
      <c r="L206" s="2"/>
      <c r="M206" s="2"/>
      <c r="N206" s="2"/>
      <c r="O206" s="2"/>
      <c r="P206" s="2"/>
      <c r="Q206" s="2"/>
      <c r="R206" s="2"/>
      <c r="S206" s="2"/>
      <c r="T206" s="2"/>
      <c r="U206" s="2"/>
      <c r="V206" s="2"/>
      <c r="W206" s="2"/>
    </row>
    <row r="207" spans="12:23">
      <c r="L207" s="2"/>
      <c r="M207" s="2"/>
      <c r="N207" s="2"/>
      <c r="O207" s="2"/>
      <c r="P207" s="2"/>
      <c r="Q207" s="2"/>
      <c r="R207" s="2"/>
      <c r="S207" s="2"/>
      <c r="T207" s="2"/>
      <c r="U207" s="2"/>
      <c r="V207" s="2"/>
      <c r="W207" s="2"/>
    </row>
    <row r="208" spans="12:23">
      <c r="L208" s="2"/>
      <c r="M208" s="2"/>
      <c r="N208" s="2"/>
      <c r="O208" s="2"/>
      <c r="P208" s="2"/>
      <c r="Q208" s="2"/>
      <c r="R208" s="2"/>
      <c r="S208" s="2"/>
      <c r="T208" s="2"/>
      <c r="U208" s="2"/>
      <c r="V208" s="2"/>
      <c r="W208" s="2"/>
    </row>
    <row r="209" spans="12:23">
      <c r="L209" s="2"/>
      <c r="M209" s="2"/>
      <c r="N209" s="2"/>
      <c r="O209" s="2"/>
      <c r="P209" s="2"/>
      <c r="Q209" s="2"/>
      <c r="R209" s="2"/>
      <c r="S209" s="2"/>
      <c r="T209" s="2"/>
      <c r="U209" s="2"/>
      <c r="V209" s="2"/>
      <c r="W209" s="2"/>
    </row>
    <row r="210" spans="12:23">
      <c r="L210" s="2"/>
      <c r="M210" s="2"/>
      <c r="N210" s="2"/>
      <c r="O210" s="2"/>
      <c r="P210" s="2"/>
      <c r="Q210" s="2"/>
      <c r="R210" s="2"/>
      <c r="S210" s="2"/>
      <c r="T210" s="2"/>
      <c r="U210" s="2"/>
      <c r="V210" s="2"/>
      <c r="W210" s="2"/>
    </row>
    <row r="211" spans="12:23">
      <c r="L211" s="2"/>
      <c r="M211" s="2"/>
      <c r="N211" s="2"/>
      <c r="O211" s="2"/>
      <c r="P211" s="2"/>
      <c r="Q211" s="2"/>
      <c r="R211" s="2"/>
      <c r="S211" s="2"/>
      <c r="T211" s="2"/>
      <c r="U211" s="2"/>
      <c r="V211" s="2"/>
      <c r="W211" s="2"/>
    </row>
    <row r="212" spans="12:23">
      <c r="L212" s="2"/>
      <c r="M212" s="2"/>
      <c r="N212" s="2"/>
      <c r="O212" s="2"/>
      <c r="P212" s="2"/>
      <c r="Q212" s="2"/>
      <c r="R212" s="2"/>
      <c r="S212" s="2"/>
      <c r="T212" s="2"/>
      <c r="U212" s="2"/>
      <c r="V212" s="2"/>
      <c r="W212" s="2"/>
    </row>
    <row r="213" spans="12:23">
      <c r="L213" s="2"/>
      <c r="M213" s="2"/>
      <c r="N213" s="2"/>
      <c r="O213" s="2"/>
      <c r="P213" s="2"/>
      <c r="Q213" s="2"/>
      <c r="R213" s="2"/>
      <c r="S213" s="2"/>
      <c r="T213" s="2"/>
      <c r="U213" s="2"/>
      <c r="V213" s="2"/>
      <c r="W213" s="2"/>
    </row>
    <row r="214" spans="12:23">
      <c r="L214" s="2"/>
      <c r="M214" s="2"/>
      <c r="N214" s="2"/>
      <c r="O214" s="2"/>
      <c r="P214" s="2"/>
      <c r="Q214" s="2"/>
      <c r="R214" s="2"/>
      <c r="S214" s="2"/>
      <c r="T214" s="2"/>
      <c r="U214" s="2"/>
      <c r="V214" s="2"/>
      <c r="W214" s="2"/>
    </row>
    <row r="215" spans="12:23">
      <c r="L215" s="2"/>
      <c r="M215" s="2"/>
      <c r="N215" s="2"/>
      <c r="O215" s="2"/>
      <c r="P215" s="2"/>
      <c r="Q215" s="2"/>
      <c r="R215" s="2"/>
      <c r="S215" s="2"/>
      <c r="T215" s="2"/>
      <c r="U215" s="2"/>
      <c r="V215" s="2"/>
      <c r="W215" s="2"/>
    </row>
    <row r="216" spans="12:23">
      <c r="L216" s="2"/>
      <c r="M216" s="2"/>
      <c r="N216" s="2"/>
      <c r="O216" s="2"/>
      <c r="P216" s="2"/>
      <c r="Q216" s="2"/>
      <c r="R216" s="2"/>
      <c r="S216" s="2"/>
      <c r="T216" s="2"/>
      <c r="U216" s="2"/>
      <c r="V216" s="2"/>
      <c r="W216" s="2"/>
    </row>
    <row r="217" spans="12:23">
      <c r="L217" s="2"/>
      <c r="M217" s="2"/>
      <c r="N217" s="2"/>
      <c r="O217" s="2"/>
      <c r="P217" s="2"/>
      <c r="Q217" s="2"/>
      <c r="R217" s="2"/>
      <c r="S217" s="2"/>
      <c r="T217" s="2"/>
      <c r="U217" s="2"/>
      <c r="V217" s="2"/>
      <c r="W217" s="2"/>
    </row>
    <row r="218" spans="12:23">
      <c r="L218" s="2"/>
      <c r="M218" s="2"/>
      <c r="N218" s="2"/>
      <c r="O218" s="2"/>
      <c r="P218" s="2"/>
      <c r="Q218" s="2"/>
      <c r="R218" s="2"/>
      <c r="S218" s="2"/>
      <c r="T218" s="2"/>
      <c r="U218" s="2"/>
      <c r="V218" s="2"/>
      <c r="W218" s="2"/>
    </row>
    <row r="219" spans="12:23">
      <c r="L219" s="2"/>
      <c r="M219" s="2"/>
      <c r="N219" s="2"/>
      <c r="O219" s="2"/>
      <c r="P219" s="2"/>
      <c r="Q219" s="2"/>
      <c r="R219" s="2"/>
      <c r="S219" s="2"/>
      <c r="T219" s="2"/>
      <c r="U219" s="2"/>
      <c r="V219" s="2"/>
      <c r="W219" s="2"/>
    </row>
    <row r="220" spans="12:23">
      <c r="L220" s="2"/>
      <c r="M220" s="2"/>
      <c r="N220" s="2"/>
      <c r="O220" s="2"/>
      <c r="P220" s="2"/>
      <c r="Q220" s="2"/>
      <c r="R220" s="2"/>
      <c r="S220" s="2"/>
      <c r="T220" s="2"/>
      <c r="U220" s="2"/>
      <c r="V220" s="2"/>
      <c r="W220" s="2"/>
    </row>
    <row r="221" spans="12:23">
      <c r="L221" s="2"/>
      <c r="M221" s="2"/>
      <c r="N221" s="2"/>
      <c r="O221" s="2"/>
      <c r="P221" s="2"/>
      <c r="Q221" s="2"/>
      <c r="R221" s="2"/>
      <c r="S221" s="2"/>
      <c r="T221" s="2"/>
      <c r="U221" s="2"/>
      <c r="V221" s="2"/>
      <c r="W221" s="2"/>
    </row>
    <row r="222" spans="12:23">
      <c r="L222" s="2"/>
      <c r="M222" s="2"/>
      <c r="N222" s="2"/>
      <c r="O222" s="2"/>
      <c r="P222" s="2"/>
      <c r="Q222" s="2"/>
      <c r="R222" s="2"/>
      <c r="S222" s="2"/>
      <c r="T222" s="2"/>
      <c r="U222" s="2"/>
      <c r="V222" s="2"/>
      <c r="W222" s="2"/>
    </row>
    <row r="223" spans="12:23">
      <c r="L223" s="2"/>
      <c r="M223" s="2"/>
      <c r="N223" s="2"/>
      <c r="O223" s="2"/>
      <c r="P223" s="2"/>
      <c r="Q223" s="2"/>
      <c r="R223" s="2"/>
      <c r="S223" s="2"/>
      <c r="T223" s="2"/>
      <c r="U223" s="2"/>
      <c r="V223" s="2"/>
      <c r="W223" s="2"/>
    </row>
    <row r="224" spans="12:23">
      <c r="L224" s="2"/>
      <c r="M224" s="2"/>
      <c r="N224" s="2"/>
      <c r="O224" s="2"/>
      <c r="P224" s="2"/>
      <c r="Q224" s="2"/>
      <c r="R224" s="2"/>
      <c r="S224" s="2"/>
      <c r="T224" s="2"/>
      <c r="U224" s="2"/>
      <c r="V224" s="2"/>
      <c r="W224" s="2"/>
    </row>
    <row r="225" spans="12:23">
      <c r="L225" s="2"/>
      <c r="M225" s="2"/>
      <c r="N225" s="2"/>
      <c r="O225" s="2"/>
      <c r="P225" s="2"/>
      <c r="Q225" s="2"/>
      <c r="R225" s="2"/>
      <c r="S225" s="2"/>
      <c r="T225" s="2"/>
      <c r="U225" s="2"/>
      <c r="V225" s="2"/>
      <c r="W225" s="2"/>
    </row>
    <row r="226" spans="12:23">
      <c r="L226" s="2"/>
      <c r="M226" s="2"/>
      <c r="N226" s="2"/>
      <c r="O226" s="2"/>
      <c r="P226" s="2"/>
      <c r="Q226" s="2"/>
      <c r="R226" s="2"/>
      <c r="S226" s="2"/>
      <c r="T226" s="2"/>
      <c r="U226" s="2"/>
      <c r="V226" s="2"/>
      <c r="W226" s="2"/>
    </row>
    <row r="227" spans="12:23">
      <c r="L227" s="2"/>
      <c r="M227" s="2"/>
      <c r="N227" s="2"/>
      <c r="O227" s="2"/>
      <c r="P227" s="2"/>
      <c r="Q227" s="2"/>
      <c r="R227" s="2"/>
      <c r="S227" s="2"/>
      <c r="T227" s="2"/>
      <c r="U227" s="2"/>
      <c r="V227" s="2"/>
      <c r="W227" s="2"/>
    </row>
    <row r="228" spans="12:23">
      <c r="L228" s="2"/>
      <c r="M228" s="2"/>
      <c r="N228" s="2"/>
      <c r="O228" s="2"/>
      <c r="P228" s="2"/>
      <c r="Q228" s="2"/>
      <c r="R228" s="2"/>
      <c r="S228" s="2"/>
      <c r="T228" s="2"/>
      <c r="U228" s="2"/>
      <c r="V228" s="2"/>
      <c r="W228" s="2"/>
    </row>
    <row r="229" spans="12:23">
      <c r="L229" s="2"/>
      <c r="M229" s="2"/>
      <c r="N229" s="2"/>
      <c r="O229" s="2"/>
      <c r="P229" s="2"/>
      <c r="Q229" s="2"/>
      <c r="R229" s="2"/>
      <c r="S229" s="2"/>
      <c r="T229" s="2"/>
      <c r="U229" s="2"/>
      <c r="V229" s="2"/>
      <c r="W229" s="2"/>
    </row>
    <row r="230" spans="12:23">
      <c r="L230" s="2"/>
      <c r="M230" s="2"/>
      <c r="N230" s="2"/>
      <c r="O230" s="2"/>
      <c r="P230" s="2"/>
      <c r="Q230" s="2"/>
      <c r="R230" s="2"/>
      <c r="S230" s="2"/>
      <c r="T230" s="2"/>
      <c r="U230" s="2"/>
      <c r="V230" s="2"/>
      <c r="W230" s="2"/>
    </row>
    <row r="231" spans="12:23">
      <c r="L231" s="2"/>
      <c r="M231" s="2"/>
      <c r="N231" s="2"/>
      <c r="O231" s="2"/>
      <c r="P231" s="2"/>
      <c r="Q231" s="2"/>
      <c r="R231" s="2"/>
      <c r="S231" s="2"/>
      <c r="T231" s="2"/>
      <c r="U231" s="2"/>
      <c r="V231" s="2"/>
      <c r="W231" s="2"/>
    </row>
    <row r="232" spans="12:23">
      <c r="L232" s="2"/>
      <c r="M232" s="2"/>
      <c r="N232" s="2"/>
      <c r="O232" s="2"/>
      <c r="P232" s="2"/>
      <c r="Q232" s="2"/>
      <c r="R232" s="2"/>
      <c r="S232" s="2"/>
      <c r="T232" s="2"/>
      <c r="U232" s="2"/>
      <c r="V232" s="2"/>
      <c r="W232" s="2"/>
    </row>
    <row r="233" spans="12:23">
      <c r="L233" s="2"/>
      <c r="M233" s="2"/>
      <c r="N233" s="2"/>
      <c r="O233" s="2"/>
      <c r="P233" s="2"/>
      <c r="Q233" s="2"/>
      <c r="R233" s="2"/>
      <c r="S233" s="2"/>
      <c r="T233" s="2"/>
      <c r="U233" s="2"/>
      <c r="V233" s="2"/>
      <c r="W233" s="2"/>
    </row>
    <row r="234" spans="12:23">
      <c r="L234" s="2"/>
      <c r="M234" s="2"/>
      <c r="N234" s="2"/>
      <c r="O234" s="2"/>
      <c r="P234" s="2"/>
      <c r="Q234" s="2"/>
      <c r="R234" s="2"/>
      <c r="S234" s="2"/>
      <c r="T234" s="2"/>
      <c r="U234" s="2"/>
      <c r="V234" s="2"/>
      <c r="W234" s="2"/>
    </row>
    <row r="235" spans="12:23">
      <c r="L235" s="2"/>
      <c r="M235" s="2"/>
      <c r="N235" s="2"/>
      <c r="O235" s="2"/>
      <c r="P235" s="2"/>
      <c r="Q235" s="2"/>
      <c r="R235" s="2"/>
      <c r="S235" s="2"/>
      <c r="T235" s="2"/>
      <c r="U235" s="2"/>
      <c r="V235" s="2"/>
      <c r="W235" s="2"/>
    </row>
    <row r="236" spans="12:23">
      <c r="L236" s="2"/>
      <c r="M236" s="2"/>
      <c r="N236" s="2"/>
      <c r="O236" s="2"/>
      <c r="P236" s="2"/>
      <c r="Q236" s="2"/>
      <c r="R236" s="2"/>
      <c r="S236" s="2"/>
      <c r="T236" s="2"/>
      <c r="U236" s="2"/>
      <c r="V236" s="2"/>
      <c r="W236" s="2"/>
    </row>
    <row r="237" spans="12:23">
      <c r="L237" s="2"/>
      <c r="M237" s="2"/>
      <c r="N237" s="2"/>
      <c r="O237" s="2"/>
      <c r="P237" s="2"/>
      <c r="Q237" s="2"/>
      <c r="R237" s="2"/>
      <c r="S237" s="2"/>
      <c r="T237" s="2"/>
      <c r="U237" s="2"/>
      <c r="V237" s="2"/>
      <c r="W237" s="2"/>
    </row>
    <row r="238" spans="12:23">
      <c r="L238" s="2"/>
      <c r="M238" s="2"/>
      <c r="N238" s="2"/>
      <c r="O238" s="2"/>
      <c r="P238" s="2"/>
      <c r="Q238" s="2"/>
      <c r="R238" s="2"/>
      <c r="S238" s="2"/>
      <c r="T238" s="2"/>
      <c r="U238" s="2"/>
      <c r="V238" s="2"/>
      <c r="W238" s="2"/>
    </row>
    <row r="239" spans="12:23">
      <c r="L239" s="2"/>
      <c r="M239" s="2"/>
      <c r="N239" s="2"/>
      <c r="O239" s="2"/>
      <c r="P239" s="2"/>
      <c r="Q239" s="2"/>
      <c r="R239" s="2"/>
      <c r="S239" s="2"/>
      <c r="T239" s="2"/>
      <c r="U239" s="2"/>
      <c r="V239" s="2"/>
      <c r="W239" s="2"/>
    </row>
    <row r="240" spans="12:23">
      <c r="L240" s="2"/>
      <c r="M240" s="2"/>
      <c r="N240" s="2"/>
      <c r="O240" s="2"/>
      <c r="P240" s="2"/>
      <c r="Q240" s="2"/>
      <c r="R240" s="2"/>
      <c r="S240" s="2"/>
      <c r="T240" s="2"/>
      <c r="U240" s="2"/>
      <c r="V240" s="2"/>
      <c r="W240" s="2"/>
    </row>
    <row r="241" spans="12:23">
      <c r="L241" s="2"/>
      <c r="M241" s="2"/>
      <c r="N241" s="2"/>
      <c r="O241" s="2"/>
      <c r="P241" s="2"/>
      <c r="Q241" s="2"/>
      <c r="R241" s="2"/>
      <c r="S241" s="2"/>
      <c r="T241" s="2"/>
      <c r="U241" s="2"/>
      <c r="V241" s="2"/>
      <c r="W241" s="2"/>
    </row>
    <row r="242" spans="12:23">
      <c r="L242" s="2"/>
      <c r="M242" s="2"/>
      <c r="N242" s="2"/>
      <c r="O242" s="2"/>
      <c r="P242" s="2"/>
      <c r="Q242" s="2"/>
      <c r="R242" s="2"/>
      <c r="S242" s="2"/>
      <c r="T242" s="2"/>
      <c r="U242" s="2"/>
      <c r="V242" s="2"/>
      <c r="W242" s="2"/>
    </row>
    <row r="243" spans="12:23">
      <c r="L243" s="2"/>
      <c r="M243" s="2"/>
      <c r="N243" s="2"/>
      <c r="O243" s="2"/>
      <c r="P243" s="2"/>
      <c r="Q243" s="2"/>
      <c r="R243" s="2"/>
      <c r="S243" s="2"/>
      <c r="T243" s="2"/>
      <c r="U243" s="2"/>
      <c r="V243" s="2"/>
      <c r="W243" s="2"/>
    </row>
    <row r="244" spans="12:23">
      <c r="L244" s="2"/>
      <c r="M244" s="2"/>
      <c r="N244" s="2"/>
      <c r="O244" s="2"/>
      <c r="P244" s="2"/>
      <c r="Q244" s="2"/>
      <c r="R244" s="2"/>
      <c r="S244" s="2"/>
      <c r="T244" s="2"/>
      <c r="U244" s="2"/>
      <c r="V244" s="2"/>
      <c r="W244" s="2"/>
    </row>
    <row r="245" spans="12:23">
      <c r="L245" s="2"/>
      <c r="M245" s="2"/>
      <c r="N245" s="2"/>
      <c r="O245" s="2"/>
      <c r="P245" s="2"/>
      <c r="Q245" s="2"/>
      <c r="R245" s="2"/>
      <c r="S245" s="2"/>
      <c r="T245" s="2"/>
      <c r="U245" s="2"/>
      <c r="V245" s="2"/>
      <c r="W245" s="2"/>
    </row>
    <row r="246" spans="12:23">
      <c r="L246" s="2"/>
      <c r="M246" s="2"/>
      <c r="N246" s="2"/>
      <c r="O246" s="2"/>
      <c r="P246" s="2"/>
      <c r="Q246" s="2"/>
      <c r="R246" s="2"/>
      <c r="S246" s="2"/>
      <c r="T246" s="2"/>
      <c r="U246" s="2"/>
      <c r="V246" s="2"/>
      <c r="W246" s="2"/>
    </row>
    <row r="247" spans="12:23">
      <c r="L247" s="2"/>
      <c r="M247" s="2"/>
      <c r="N247" s="2"/>
      <c r="O247" s="2"/>
      <c r="P247" s="2"/>
      <c r="Q247" s="2"/>
      <c r="R247" s="2"/>
      <c r="S247" s="2"/>
      <c r="T247" s="2"/>
      <c r="U247" s="2"/>
      <c r="V247" s="2"/>
      <c r="W247" s="2"/>
    </row>
    <row r="248" spans="12:23">
      <c r="L248" s="2"/>
      <c r="M248" s="2"/>
      <c r="N248" s="2"/>
      <c r="O248" s="2"/>
      <c r="P248" s="2"/>
      <c r="Q248" s="2"/>
      <c r="R248" s="2"/>
      <c r="S248" s="2"/>
      <c r="T248" s="2"/>
      <c r="U248" s="2"/>
      <c r="V248" s="2"/>
      <c r="W248" s="2"/>
    </row>
    <row r="249" spans="12:23">
      <c r="L249" s="2"/>
      <c r="M249" s="2"/>
      <c r="N249" s="2"/>
      <c r="O249" s="2"/>
      <c r="P249" s="2"/>
      <c r="Q249" s="2"/>
      <c r="R249" s="2"/>
      <c r="S249" s="2"/>
      <c r="T249" s="2"/>
      <c r="U249" s="2"/>
      <c r="V249" s="2"/>
      <c r="W249" s="2"/>
    </row>
    <row r="250" spans="12:23">
      <c r="L250" s="2"/>
      <c r="M250" s="2"/>
      <c r="N250" s="2"/>
      <c r="O250" s="2"/>
      <c r="P250" s="2"/>
      <c r="Q250" s="2"/>
      <c r="R250" s="2"/>
      <c r="S250" s="2"/>
      <c r="T250" s="2"/>
      <c r="U250" s="2"/>
      <c r="V250" s="2"/>
      <c r="W250" s="2"/>
    </row>
    <row r="251" spans="12:23">
      <c r="L251" s="2"/>
      <c r="M251" s="2"/>
      <c r="N251" s="2"/>
      <c r="O251" s="2"/>
      <c r="P251" s="2"/>
      <c r="Q251" s="2"/>
      <c r="R251" s="2"/>
      <c r="S251" s="2"/>
      <c r="T251" s="2"/>
      <c r="U251" s="2"/>
      <c r="V251" s="2"/>
      <c r="W251" s="2"/>
    </row>
    <row r="252" spans="12:23">
      <c r="L252" s="2"/>
      <c r="M252" s="2"/>
      <c r="N252" s="2"/>
      <c r="O252" s="2"/>
      <c r="P252" s="2"/>
      <c r="Q252" s="2"/>
      <c r="R252" s="2"/>
      <c r="S252" s="2"/>
      <c r="T252" s="2"/>
      <c r="U252" s="2"/>
      <c r="V252" s="2"/>
      <c r="W252" s="2"/>
    </row>
    <row r="253" spans="12:23">
      <c r="L253" s="2"/>
      <c r="M253" s="2"/>
      <c r="N253" s="2"/>
      <c r="O253" s="2"/>
      <c r="P253" s="2"/>
      <c r="Q253" s="2"/>
      <c r="R253" s="2"/>
      <c r="S253" s="2"/>
      <c r="T253" s="2"/>
      <c r="U253" s="2"/>
      <c r="V253" s="2"/>
      <c r="W253" s="2"/>
    </row>
    <row r="254" spans="12:23">
      <c r="L254" s="2"/>
      <c r="M254" s="2"/>
      <c r="N254" s="2"/>
      <c r="O254" s="2"/>
      <c r="P254" s="2"/>
      <c r="Q254" s="2"/>
      <c r="R254" s="2"/>
      <c r="S254" s="2"/>
      <c r="T254" s="2"/>
      <c r="U254" s="2"/>
      <c r="V254" s="2"/>
      <c r="W254" s="2"/>
    </row>
    <row r="255" spans="12:23">
      <c r="L255" s="2"/>
      <c r="M255" s="2"/>
      <c r="N255" s="2"/>
      <c r="O255" s="2"/>
      <c r="P255" s="2"/>
      <c r="Q255" s="2"/>
      <c r="R255" s="2"/>
      <c r="S255" s="2"/>
      <c r="T255" s="2"/>
      <c r="U255" s="2"/>
      <c r="V255" s="2"/>
      <c r="W255" s="2"/>
    </row>
    <row r="256" spans="12:23">
      <c r="L256" s="2"/>
      <c r="M256" s="2"/>
      <c r="N256" s="2"/>
      <c r="O256" s="2"/>
      <c r="P256" s="2"/>
      <c r="Q256" s="2"/>
      <c r="R256" s="2"/>
      <c r="S256" s="2"/>
      <c r="T256" s="2"/>
      <c r="U256" s="2"/>
      <c r="V256" s="2"/>
      <c r="W256" s="2"/>
    </row>
    <row r="257" spans="12:23">
      <c r="L257" s="2"/>
      <c r="M257" s="2"/>
      <c r="N257" s="2"/>
      <c r="O257" s="2"/>
      <c r="P257" s="2"/>
      <c r="Q257" s="2"/>
      <c r="R257" s="2"/>
      <c r="S257" s="2"/>
      <c r="T257" s="2"/>
      <c r="U257" s="2"/>
      <c r="V257" s="2"/>
      <c r="W257" s="2"/>
    </row>
    <row r="258" spans="12:23">
      <c r="L258" s="2"/>
      <c r="M258" s="2"/>
      <c r="N258" s="2"/>
      <c r="O258" s="2"/>
      <c r="P258" s="2"/>
      <c r="Q258" s="2"/>
      <c r="R258" s="2"/>
      <c r="S258" s="2"/>
      <c r="T258" s="2"/>
      <c r="U258" s="2"/>
      <c r="V258" s="2"/>
      <c r="W258" s="2"/>
    </row>
    <row r="259" spans="12:23">
      <c r="L259" s="2"/>
      <c r="M259" s="2"/>
      <c r="N259" s="2"/>
      <c r="O259" s="2"/>
      <c r="P259" s="2"/>
      <c r="Q259" s="2"/>
      <c r="R259" s="2"/>
      <c r="S259" s="2"/>
      <c r="T259" s="2"/>
      <c r="U259" s="2"/>
      <c r="V259" s="2"/>
      <c r="W259" s="2"/>
    </row>
    <row r="260" spans="12:23">
      <c r="L260" s="2"/>
      <c r="M260" s="2"/>
      <c r="N260" s="2"/>
      <c r="O260" s="2"/>
      <c r="P260" s="2"/>
      <c r="Q260" s="2"/>
      <c r="R260" s="2"/>
      <c r="S260" s="2"/>
      <c r="T260" s="2"/>
      <c r="U260" s="2"/>
      <c r="V260" s="2"/>
      <c r="W260" s="2"/>
    </row>
    <row r="261" spans="12:23">
      <c r="L261" s="2"/>
      <c r="M261" s="2"/>
      <c r="N261" s="2"/>
      <c r="O261" s="2"/>
      <c r="P261" s="2"/>
      <c r="Q261" s="2"/>
      <c r="R261" s="2"/>
      <c r="S261" s="2"/>
      <c r="T261" s="2"/>
      <c r="U261" s="2"/>
      <c r="V261" s="2"/>
      <c r="W261" s="2"/>
    </row>
    <row r="262" spans="12:23">
      <c r="L262" s="2"/>
      <c r="M262" s="2"/>
      <c r="N262" s="2"/>
      <c r="O262" s="2"/>
      <c r="P262" s="2"/>
      <c r="Q262" s="2"/>
      <c r="R262" s="2"/>
      <c r="S262" s="2"/>
      <c r="T262" s="2"/>
      <c r="U262" s="2"/>
      <c r="V262" s="2"/>
      <c r="W262" s="2"/>
    </row>
    <row r="263" spans="12:23">
      <c r="L263" s="2"/>
      <c r="M263" s="2"/>
      <c r="N263" s="2"/>
      <c r="O263" s="2"/>
      <c r="P263" s="2"/>
      <c r="Q263" s="2"/>
      <c r="R263" s="2"/>
      <c r="S263" s="2"/>
      <c r="T263" s="2"/>
      <c r="U263" s="2"/>
      <c r="V263" s="2"/>
      <c r="W263" s="2"/>
    </row>
    <row r="264" spans="12:23">
      <c r="L264" s="2"/>
      <c r="M264" s="2"/>
      <c r="N264" s="2"/>
      <c r="O264" s="2"/>
      <c r="P264" s="2"/>
      <c r="Q264" s="2"/>
      <c r="R264" s="2"/>
      <c r="S264" s="2"/>
      <c r="T264" s="2"/>
      <c r="U264" s="2"/>
      <c r="V264" s="2"/>
      <c r="W264" s="2"/>
    </row>
    <row r="265" spans="12:23">
      <c r="L265" s="2"/>
      <c r="M265" s="2"/>
      <c r="N265" s="2"/>
      <c r="O265" s="2"/>
      <c r="P265" s="2"/>
      <c r="Q265" s="2"/>
      <c r="R265" s="2"/>
      <c r="S265" s="2"/>
      <c r="T265" s="2"/>
      <c r="U265" s="2"/>
      <c r="V265" s="2"/>
      <c r="W265" s="2"/>
    </row>
    <row r="266" spans="12:23">
      <c r="L266" s="2"/>
      <c r="M266" s="2"/>
      <c r="N266" s="2"/>
      <c r="O266" s="2"/>
      <c r="P266" s="2"/>
      <c r="Q266" s="2"/>
      <c r="R266" s="2"/>
      <c r="S266" s="2"/>
      <c r="T266" s="2"/>
      <c r="U266" s="2"/>
      <c r="V266" s="2"/>
      <c r="W266" s="2"/>
    </row>
    <row r="267" spans="12:23">
      <c r="L267" s="2"/>
      <c r="M267" s="2"/>
      <c r="N267" s="2"/>
      <c r="O267" s="2"/>
      <c r="P267" s="2"/>
      <c r="Q267" s="2"/>
      <c r="R267" s="2"/>
      <c r="S267" s="2"/>
      <c r="T267" s="2"/>
      <c r="U267" s="2"/>
      <c r="V267" s="2"/>
      <c r="W267" s="2"/>
    </row>
    <row r="268" spans="12:23">
      <c r="L268" s="2"/>
      <c r="M268" s="2"/>
      <c r="N268" s="2"/>
      <c r="O268" s="2"/>
      <c r="P268" s="2"/>
      <c r="Q268" s="2"/>
      <c r="R268" s="2"/>
      <c r="S268" s="2"/>
      <c r="T268" s="2"/>
      <c r="U268" s="2"/>
      <c r="V268" s="2"/>
      <c r="W268" s="2"/>
    </row>
    <row r="269" spans="12:23">
      <c r="L269" s="2"/>
      <c r="M269" s="2"/>
      <c r="N269" s="2"/>
      <c r="O269" s="2"/>
      <c r="P269" s="2"/>
      <c r="Q269" s="2"/>
      <c r="R269" s="2"/>
      <c r="S269" s="2"/>
      <c r="T269" s="2"/>
      <c r="U269" s="2"/>
      <c r="V269" s="2"/>
      <c r="W269" s="2"/>
    </row>
    <row r="270" spans="12:23">
      <c r="L270" s="2"/>
      <c r="M270" s="2"/>
      <c r="N270" s="2"/>
      <c r="O270" s="2"/>
      <c r="P270" s="2"/>
      <c r="Q270" s="2"/>
      <c r="R270" s="2"/>
      <c r="S270" s="2"/>
      <c r="T270" s="2"/>
      <c r="U270" s="2"/>
      <c r="V270" s="2"/>
      <c r="W270" s="2"/>
    </row>
    <row r="271" spans="12:23">
      <c r="L271" s="2"/>
      <c r="M271" s="2"/>
      <c r="N271" s="2"/>
      <c r="O271" s="2"/>
      <c r="P271" s="2"/>
      <c r="Q271" s="2"/>
      <c r="R271" s="2"/>
      <c r="S271" s="2"/>
      <c r="T271" s="2"/>
      <c r="U271" s="2"/>
      <c r="V271" s="2"/>
      <c r="W271" s="2"/>
    </row>
    <row r="272" spans="12:23">
      <c r="L272" s="2"/>
      <c r="M272" s="2"/>
      <c r="N272" s="2"/>
      <c r="O272" s="2"/>
      <c r="P272" s="2"/>
      <c r="Q272" s="2"/>
      <c r="R272" s="2"/>
      <c r="S272" s="2"/>
      <c r="T272" s="2"/>
      <c r="U272" s="2"/>
      <c r="V272" s="2"/>
      <c r="W272" s="2"/>
    </row>
    <row r="273" spans="12:23">
      <c r="L273" s="2"/>
      <c r="M273" s="2"/>
      <c r="N273" s="2"/>
      <c r="O273" s="2"/>
      <c r="P273" s="2"/>
      <c r="Q273" s="2"/>
      <c r="R273" s="2"/>
      <c r="S273" s="2"/>
      <c r="T273" s="2"/>
      <c r="U273" s="2"/>
      <c r="V273" s="2"/>
      <c r="W273" s="2"/>
    </row>
    <row r="274" spans="12:23">
      <c r="L274" s="2"/>
      <c r="M274" s="2"/>
      <c r="N274" s="2"/>
      <c r="O274" s="2"/>
      <c r="P274" s="2"/>
      <c r="Q274" s="2"/>
      <c r="R274" s="2"/>
      <c r="S274" s="2"/>
      <c r="T274" s="2"/>
      <c r="U274" s="2"/>
      <c r="V274" s="2"/>
      <c r="W274" s="2"/>
    </row>
    <row r="275" spans="12:23">
      <c r="L275" s="2"/>
      <c r="M275" s="2"/>
      <c r="N275" s="2"/>
      <c r="O275" s="2"/>
      <c r="P275" s="2"/>
      <c r="Q275" s="2"/>
      <c r="R275" s="2"/>
      <c r="S275" s="2"/>
      <c r="T275" s="2"/>
      <c r="U275" s="2"/>
      <c r="V275" s="2"/>
      <c r="W275" s="2"/>
    </row>
    <row r="276" spans="12:23">
      <c r="L276" s="2"/>
      <c r="M276" s="2"/>
      <c r="N276" s="2"/>
      <c r="O276" s="2"/>
      <c r="P276" s="2"/>
      <c r="Q276" s="2"/>
      <c r="R276" s="2"/>
      <c r="S276" s="2"/>
      <c r="T276" s="2"/>
      <c r="U276" s="2"/>
      <c r="V276" s="2"/>
      <c r="W276" s="2"/>
    </row>
    <row r="277" spans="12:23">
      <c r="L277" s="2"/>
      <c r="M277" s="2"/>
      <c r="N277" s="2"/>
      <c r="O277" s="2"/>
      <c r="P277" s="2"/>
      <c r="Q277" s="2"/>
      <c r="R277" s="2"/>
      <c r="S277" s="2"/>
      <c r="T277" s="2"/>
      <c r="U277" s="2"/>
      <c r="V277" s="2"/>
      <c r="W277" s="2"/>
    </row>
    <row r="278" spans="12:23">
      <c r="L278" s="2"/>
      <c r="M278" s="2"/>
      <c r="N278" s="2"/>
      <c r="O278" s="2"/>
      <c r="P278" s="2"/>
      <c r="Q278" s="2"/>
      <c r="R278" s="2"/>
      <c r="S278" s="2"/>
      <c r="T278" s="2"/>
      <c r="U278" s="2"/>
      <c r="V278" s="2"/>
      <c r="W278" s="2"/>
    </row>
    <row r="279" spans="12:23">
      <c r="L279" s="2"/>
      <c r="M279" s="2"/>
      <c r="N279" s="2"/>
      <c r="O279" s="2"/>
      <c r="P279" s="2"/>
      <c r="Q279" s="2"/>
      <c r="R279" s="2"/>
      <c r="S279" s="2"/>
      <c r="T279" s="2"/>
      <c r="U279" s="2"/>
      <c r="V279" s="2"/>
      <c r="W279" s="2"/>
    </row>
    <row r="280" spans="12:23">
      <c r="L280" s="2"/>
      <c r="M280" s="2"/>
      <c r="N280" s="2"/>
      <c r="O280" s="2"/>
      <c r="P280" s="2"/>
      <c r="Q280" s="2"/>
      <c r="R280" s="2"/>
      <c r="S280" s="2"/>
      <c r="T280" s="2"/>
      <c r="U280" s="2"/>
      <c r="V280" s="2"/>
      <c r="W280" s="2"/>
    </row>
    <row r="281" spans="12:23">
      <c r="L281" s="2"/>
      <c r="M281" s="2"/>
      <c r="N281" s="2"/>
      <c r="O281" s="2"/>
      <c r="P281" s="2"/>
      <c r="Q281" s="2"/>
      <c r="R281" s="2"/>
      <c r="S281" s="2"/>
      <c r="T281" s="2"/>
      <c r="U281" s="2"/>
      <c r="V281" s="2"/>
      <c r="W281" s="2"/>
    </row>
    <row r="282" spans="12:23">
      <c r="L282" s="2"/>
      <c r="M282" s="2"/>
      <c r="N282" s="2"/>
      <c r="O282" s="2"/>
      <c r="P282" s="2"/>
      <c r="Q282" s="2"/>
      <c r="R282" s="2"/>
      <c r="S282" s="2"/>
      <c r="T282" s="2"/>
      <c r="U282" s="2"/>
      <c r="V282" s="2"/>
      <c r="W282" s="2"/>
    </row>
    <row r="283" spans="12:23">
      <c r="L283" s="2"/>
      <c r="M283" s="2"/>
      <c r="N283" s="2"/>
      <c r="O283" s="2"/>
      <c r="P283" s="2"/>
      <c r="Q283" s="2"/>
      <c r="R283" s="2"/>
      <c r="S283" s="2"/>
      <c r="T283" s="2"/>
      <c r="U283" s="2"/>
      <c r="V283" s="2"/>
      <c r="W283" s="2"/>
    </row>
    <row r="284" spans="12:23">
      <c r="L284" s="2"/>
      <c r="M284" s="2"/>
      <c r="N284" s="2"/>
      <c r="O284" s="2"/>
      <c r="P284" s="2"/>
      <c r="Q284" s="2"/>
      <c r="R284" s="2"/>
      <c r="S284" s="2"/>
      <c r="T284" s="2"/>
      <c r="U284" s="2"/>
      <c r="V284" s="2"/>
      <c r="W284" s="2"/>
    </row>
    <row r="285" spans="12:23">
      <c r="L285" s="2"/>
      <c r="M285" s="2"/>
      <c r="N285" s="2"/>
      <c r="O285" s="2"/>
      <c r="P285" s="2"/>
      <c r="Q285" s="2"/>
      <c r="R285" s="2"/>
      <c r="S285" s="2"/>
      <c r="T285" s="2"/>
      <c r="U285" s="2"/>
      <c r="V285" s="2"/>
      <c r="W285" s="2"/>
    </row>
    <row r="286" spans="12:23">
      <c r="L286" s="2"/>
      <c r="M286" s="2"/>
      <c r="N286" s="2"/>
      <c r="O286" s="2"/>
      <c r="P286" s="2"/>
      <c r="Q286" s="2"/>
      <c r="R286" s="2"/>
      <c r="S286" s="2"/>
      <c r="T286" s="2"/>
      <c r="U286" s="2"/>
      <c r="V286" s="2"/>
      <c r="W286" s="2"/>
    </row>
    <row r="287" spans="12:23">
      <c r="L287" s="2"/>
      <c r="M287" s="2"/>
      <c r="N287" s="2"/>
      <c r="O287" s="2"/>
      <c r="P287" s="2"/>
      <c r="Q287" s="2"/>
      <c r="R287" s="2"/>
      <c r="S287" s="2"/>
      <c r="T287" s="2"/>
      <c r="U287" s="2"/>
      <c r="V287" s="2"/>
      <c r="W287" s="2"/>
    </row>
    <row r="288" spans="12:23">
      <c r="L288" s="2"/>
      <c r="M288" s="2"/>
      <c r="N288" s="2"/>
      <c r="O288" s="2"/>
      <c r="P288" s="2"/>
      <c r="Q288" s="2"/>
      <c r="R288" s="2"/>
      <c r="S288" s="2"/>
      <c r="T288" s="2"/>
      <c r="U288" s="2"/>
      <c r="V288" s="2"/>
      <c r="W288" s="2"/>
    </row>
    <row r="289" spans="12:23">
      <c r="L289" s="2"/>
      <c r="M289" s="2"/>
      <c r="N289" s="2"/>
      <c r="O289" s="2"/>
      <c r="P289" s="2"/>
      <c r="Q289" s="2"/>
      <c r="R289" s="2"/>
      <c r="S289" s="2"/>
      <c r="T289" s="2"/>
      <c r="U289" s="2"/>
      <c r="V289" s="2"/>
      <c r="W289" s="2"/>
    </row>
    <row r="290" spans="12:23">
      <c r="L290" s="2"/>
      <c r="M290" s="2"/>
      <c r="N290" s="2"/>
      <c r="O290" s="2"/>
      <c r="P290" s="2"/>
      <c r="Q290" s="2"/>
      <c r="R290" s="2"/>
      <c r="S290" s="2"/>
      <c r="T290" s="2"/>
      <c r="U290" s="2"/>
      <c r="V290" s="2"/>
      <c r="W290" s="2"/>
    </row>
    <row r="291" spans="12:23">
      <c r="L291" s="2"/>
      <c r="M291" s="2"/>
      <c r="N291" s="2"/>
      <c r="O291" s="2"/>
      <c r="P291" s="2"/>
      <c r="Q291" s="2"/>
      <c r="R291" s="2"/>
      <c r="S291" s="2"/>
      <c r="T291" s="2"/>
      <c r="U291" s="2"/>
      <c r="V291" s="2"/>
      <c r="W291" s="2"/>
    </row>
    <row r="292" spans="12:23">
      <c r="L292" s="2"/>
      <c r="M292" s="2"/>
      <c r="N292" s="2"/>
      <c r="O292" s="2"/>
      <c r="P292" s="2"/>
      <c r="Q292" s="2"/>
      <c r="R292" s="2"/>
      <c r="S292" s="2"/>
      <c r="T292" s="2"/>
      <c r="U292" s="2"/>
      <c r="V292" s="2"/>
      <c r="W292" s="2"/>
    </row>
    <row r="293" spans="12:23">
      <c r="L293" s="2"/>
      <c r="M293" s="2"/>
      <c r="N293" s="2"/>
      <c r="O293" s="2"/>
      <c r="P293" s="2"/>
      <c r="Q293" s="2"/>
      <c r="R293" s="2"/>
      <c r="S293" s="2"/>
      <c r="T293" s="2"/>
      <c r="U293" s="2"/>
      <c r="V293" s="2"/>
      <c r="W293" s="2"/>
    </row>
    <row r="294" spans="12:23">
      <c r="L294" s="2"/>
      <c r="M294" s="2"/>
      <c r="N294" s="2"/>
      <c r="O294" s="2"/>
      <c r="P294" s="2"/>
      <c r="Q294" s="2"/>
      <c r="R294" s="2"/>
      <c r="S294" s="2"/>
      <c r="T294" s="2"/>
      <c r="U294" s="2"/>
      <c r="V294" s="2"/>
      <c r="W294" s="2"/>
    </row>
    <row r="295" spans="12:23">
      <c r="L295" s="2"/>
      <c r="M295" s="2"/>
      <c r="N295" s="2"/>
      <c r="O295" s="2"/>
      <c r="P295" s="2"/>
      <c r="Q295" s="2"/>
      <c r="R295" s="2"/>
      <c r="S295" s="2"/>
      <c r="T295" s="2"/>
      <c r="U295" s="2"/>
      <c r="V295" s="2"/>
      <c r="W295" s="2"/>
    </row>
    <row r="296" spans="12:23">
      <c r="L296" s="2"/>
      <c r="M296" s="2"/>
      <c r="N296" s="2"/>
      <c r="O296" s="2"/>
      <c r="P296" s="2"/>
      <c r="Q296" s="2"/>
      <c r="R296" s="2"/>
      <c r="S296" s="2"/>
      <c r="T296" s="2"/>
      <c r="U296" s="2"/>
      <c r="V296" s="2"/>
      <c r="W296" s="2"/>
    </row>
    <row r="297" spans="12:23">
      <c r="L297" s="2"/>
      <c r="M297" s="2"/>
      <c r="N297" s="2"/>
      <c r="O297" s="2"/>
      <c r="P297" s="2"/>
      <c r="Q297" s="2"/>
      <c r="R297" s="2"/>
      <c r="S297" s="2"/>
      <c r="T297" s="2"/>
      <c r="U297" s="2"/>
      <c r="V297" s="2"/>
      <c r="W297" s="2"/>
    </row>
    <row r="298" spans="12:23">
      <c r="L298" s="2"/>
      <c r="M298" s="2"/>
      <c r="N298" s="2"/>
      <c r="O298" s="2"/>
      <c r="P298" s="2"/>
      <c r="Q298" s="2"/>
      <c r="R298" s="2"/>
      <c r="S298" s="2"/>
      <c r="T298" s="2"/>
      <c r="U298" s="2"/>
      <c r="V298" s="2"/>
      <c r="W298" s="2"/>
    </row>
    <row r="299" spans="12:23">
      <c r="L299" s="2"/>
      <c r="M299" s="2"/>
      <c r="N299" s="2"/>
      <c r="O299" s="2"/>
      <c r="P299" s="2"/>
      <c r="Q299" s="2"/>
      <c r="R299" s="2"/>
      <c r="S299" s="2"/>
      <c r="T299" s="2"/>
      <c r="U299" s="2"/>
      <c r="V299" s="2"/>
      <c r="W299" s="2"/>
    </row>
    <row r="300" spans="12:23">
      <c r="L300" s="2"/>
      <c r="M300" s="2"/>
      <c r="N300" s="2"/>
      <c r="O300" s="2"/>
      <c r="P300" s="2"/>
      <c r="Q300" s="2"/>
      <c r="R300" s="2"/>
      <c r="S300" s="2"/>
      <c r="T300" s="2"/>
      <c r="U300" s="2"/>
      <c r="V300" s="2"/>
      <c r="W300" s="2"/>
    </row>
    <row r="301" spans="12:23">
      <c r="L301" s="2"/>
      <c r="M301" s="2"/>
      <c r="N301" s="2"/>
      <c r="O301" s="2"/>
      <c r="P301" s="2"/>
      <c r="Q301" s="2"/>
      <c r="R301" s="2"/>
      <c r="S301" s="2"/>
      <c r="T301" s="2"/>
      <c r="U301" s="2"/>
      <c r="V301" s="2"/>
      <c r="W301" s="2"/>
    </row>
    <row r="302" spans="12:23">
      <c r="L302" s="2"/>
      <c r="M302" s="2"/>
      <c r="N302" s="2"/>
      <c r="O302" s="2"/>
      <c r="P302" s="2"/>
      <c r="Q302" s="2"/>
      <c r="R302" s="2"/>
      <c r="S302" s="2"/>
      <c r="T302" s="2"/>
      <c r="U302" s="2"/>
      <c r="V302" s="2"/>
      <c r="W302" s="2"/>
    </row>
    <row r="303" spans="12:23">
      <c r="L303" s="2"/>
      <c r="M303" s="2"/>
      <c r="N303" s="2"/>
      <c r="O303" s="2"/>
      <c r="P303" s="2"/>
      <c r="Q303" s="2"/>
      <c r="R303" s="2"/>
      <c r="S303" s="2"/>
      <c r="T303" s="2"/>
      <c r="U303" s="2"/>
      <c r="V303" s="2"/>
      <c r="W303" s="2"/>
    </row>
    <row r="304" spans="12:23">
      <c r="L304" s="2"/>
      <c r="M304" s="2"/>
      <c r="N304" s="2"/>
      <c r="O304" s="2"/>
      <c r="P304" s="2"/>
      <c r="Q304" s="2"/>
      <c r="R304" s="2"/>
      <c r="S304" s="2"/>
      <c r="T304" s="2"/>
      <c r="U304" s="2"/>
      <c r="V304" s="2"/>
      <c r="W304" s="2"/>
    </row>
    <row r="305" spans="12:23">
      <c r="L305" s="2"/>
      <c r="M305" s="2"/>
      <c r="N305" s="2"/>
      <c r="O305" s="2"/>
      <c r="P305" s="2"/>
      <c r="Q305" s="2"/>
      <c r="R305" s="2"/>
      <c r="S305" s="2"/>
      <c r="T305" s="2"/>
      <c r="U305" s="2"/>
      <c r="V305" s="2"/>
      <c r="W305" s="2"/>
    </row>
    <row r="306" spans="12:23">
      <c r="L306" s="2"/>
      <c r="M306" s="2"/>
      <c r="N306" s="2"/>
      <c r="O306" s="2"/>
      <c r="P306" s="2"/>
      <c r="Q306" s="2"/>
      <c r="R306" s="2"/>
      <c r="S306" s="2"/>
      <c r="T306" s="2"/>
      <c r="U306" s="2"/>
      <c r="V306" s="2"/>
      <c r="W306" s="2"/>
    </row>
    <row r="307" spans="12:23">
      <c r="L307" s="2"/>
      <c r="M307" s="2"/>
      <c r="N307" s="2"/>
      <c r="O307" s="2"/>
      <c r="P307" s="2"/>
      <c r="Q307" s="2"/>
      <c r="R307" s="2"/>
      <c r="S307" s="2"/>
      <c r="T307" s="2"/>
      <c r="U307" s="2"/>
      <c r="V307" s="2"/>
      <c r="W307" s="2"/>
    </row>
    <row r="308" spans="12:23">
      <c r="L308" s="2"/>
      <c r="M308" s="2"/>
      <c r="N308" s="2"/>
      <c r="O308" s="2"/>
      <c r="P308" s="2"/>
      <c r="Q308" s="2"/>
      <c r="R308" s="2"/>
      <c r="S308" s="2"/>
      <c r="T308" s="2"/>
      <c r="U308" s="2"/>
      <c r="V308" s="2"/>
      <c r="W308" s="2"/>
    </row>
    <row r="309" spans="12:23">
      <c r="L309" s="2"/>
      <c r="M309" s="2"/>
      <c r="N309" s="2"/>
      <c r="O309" s="2"/>
      <c r="P309" s="2"/>
      <c r="Q309" s="2"/>
      <c r="R309" s="2"/>
      <c r="S309" s="2"/>
      <c r="T309" s="2"/>
      <c r="U309" s="2"/>
      <c r="V309" s="2"/>
      <c r="W309" s="2"/>
    </row>
    <row r="310" spans="12:23">
      <c r="L310" s="2"/>
      <c r="M310" s="2"/>
      <c r="N310" s="2"/>
      <c r="O310" s="2"/>
      <c r="P310" s="2"/>
      <c r="Q310" s="2"/>
      <c r="R310" s="2"/>
      <c r="S310" s="2"/>
      <c r="T310" s="2"/>
      <c r="U310" s="2"/>
      <c r="V310" s="2"/>
      <c r="W310" s="2"/>
    </row>
    <row r="311" spans="12:23">
      <c r="L311" s="2"/>
      <c r="M311" s="2"/>
      <c r="N311" s="2"/>
      <c r="O311" s="2"/>
      <c r="P311" s="2"/>
      <c r="Q311" s="2"/>
      <c r="R311" s="2"/>
      <c r="S311" s="2"/>
      <c r="T311" s="2"/>
      <c r="U311" s="2"/>
      <c r="V311" s="2"/>
      <c r="W311" s="2"/>
    </row>
    <row r="312" spans="12:23">
      <c r="L312" s="2"/>
      <c r="M312" s="2"/>
      <c r="N312" s="2"/>
      <c r="O312" s="2"/>
      <c r="P312" s="2"/>
      <c r="Q312" s="2"/>
      <c r="R312" s="2"/>
      <c r="S312" s="2"/>
      <c r="T312" s="2"/>
      <c r="U312" s="2"/>
      <c r="V312" s="2"/>
      <c r="W312" s="2"/>
    </row>
    <row r="313" spans="12:23">
      <c r="L313" s="2"/>
      <c r="M313" s="2"/>
      <c r="N313" s="2"/>
      <c r="O313" s="2"/>
      <c r="P313" s="2"/>
      <c r="Q313" s="2"/>
      <c r="R313" s="2"/>
      <c r="S313" s="2"/>
      <c r="T313" s="2"/>
      <c r="U313" s="2"/>
      <c r="V313" s="2"/>
      <c r="W313" s="2"/>
    </row>
    <row r="314" spans="12:23">
      <c r="L314" s="2"/>
      <c r="M314" s="2"/>
      <c r="N314" s="2"/>
      <c r="O314" s="2"/>
      <c r="P314" s="2"/>
      <c r="Q314" s="2"/>
      <c r="R314" s="2"/>
      <c r="S314" s="2"/>
      <c r="T314" s="2"/>
      <c r="U314" s="2"/>
      <c r="V314" s="2"/>
      <c r="W314" s="2"/>
    </row>
    <row r="315" spans="12:23">
      <c r="L315" s="2"/>
      <c r="M315" s="2"/>
      <c r="N315" s="2"/>
      <c r="O315" s="2"/>
      <c r="P315" s="2"/>
      <c r="Q315" s="2"/>
      <c r="R315" s="2"/>
      <c r="S315" s="2"/>
      <c r="T315" s="2"/>
      <c r="U315" s="2"/>
      <c r="V315" s="2"/>
      <c r="W315" s="2"/>
    </row>
    <row r="316" spans="12:23">
      <c r="L316" s="2"/>
      <c r="M316" s="2"/>
      <c r="N316" s="2"/>
      <c r="O316" s="2"/>
      <c r="P316" s="2"/>
      <c r="Q316" s="2"/>
      <c r="R316" s="2"/>
      <c r="S316" s="2"/>
      <c r="T316" s="2"/>
      <c r="U316" s="2"/>
      <c r="V316" s="2"/>
      <c r="W316" s="2"/>
    </row>
    <row r="317" spans="12:23">
      <c r="L317" s="2"/>
      <c r="M317" s="2"/>
      <c r="N317" s="2"/>
      <c r="O317" s="2"/>
      <c r="P317" s="2"/>
      <c r="Q317" s="2"/>
      <c r="R317" s="2"/>
      <c r="S317" s="2"/>
      <c r="T317" s="2"/>
      <c r="U317" s="2"/>
      <c r="V317" s="2"/>
      <c r="W317" s="2"/>
    </row>
    <row r="318" spans="12:23">
      <c r="L318" s="2"/>
      <c r="M318" s="2"/>
      <c r="N318" s="2"/>
      <c r="O318" s="2"/>
      <c r="P318" s="2"/>
      <c r="Q318" s="2"/>
      <c r="R318" s="2"/>
      <c r="S318" s="2"/>
      <c r="T318" s="2"/>
      <c r="U318" s="2"/>
      <c r="V318" s="2"/>
      <c r="W318" s="2"/>
    </row>
    <row r="319" spans="12:23">
      <c r="L319" s="2"/>
      <c r="M319" s="2"/>
      <c r="N319" s="2"/>
      <c r="O319" s="2"/>
      <c r="P319" s="2"/>
      <c r="Q319" s="2"/>
      <c r="R319" s="2"/>
      <c r="S319" s="2"/>
      <c r="T319" s="2"/>
      <c r="U319" s="2"/>
      <c r="V319" s="2"/>
      <c r="W319" s="2"/>
    </row>
    <row r="320" spans="12:23">
      <c r="L320" s="2"/>
      <c r="M320" s="2"/>
      <c r="N320" s="2"/>
      <c r="O320" s="2"/>
      <c r="P320" s="2"/>
      <c r="Q320" s="2"/>
      <c r="R320" s="2"/>
      <c r="S320" s="2"/>
      <c r="T320" s="2"/>
      <c r="U320" s="2"/>
      <c r="V320" s="2"/>
      <c r="W320" s="2"/>
    </row>
    <row r="321" spans="12:23">
      <c r="L321" s="2"/>
      <c r="M321" s="2"/>
      <c r="N321" s="2"/>
      <c r="O321" s="2"/>
      <c r="P321" s="2"/>
      <c r="Q321" s="2"/>
      <c r="R321" s="2"/>
      <c r="S321" s="2"/>
      <c r="T321" s="2"/>
      <c r="U321" s="2"/>
      <c r="V321" s="2"/>
      <c r="W321" s="2"/>
    </row>
    <row r="322" spans="12:23">
      <c r="L322" s="2"/>
      <c r="M322" s="2"/>
      <c r="N322" s="2"/>
      <c r="O322" s="2"/>
      <c r="P322" s="2"/>
      <c r="Q322" s="2"/>
      <c r="R322" s="2"/>
      <c r="S322" s="2"/>
      <c r="T322" s="2"/>
      <c r="U322" s="2"/>
      <c r="V322" s="2"/>
      <c r="W322" s="2"/>
    </row>
    <row r="323" spans="12:23">
      <c r="L323" s="2"/>
      <c r="M323" s="2"/>
      <c r="N323" s="2"/>
      <c r="O323" s="2"/>
      <c r="P323" s="2"/>
      <c r="Q323" s="2"/>
      <c r="R323" s="2"/>
      <c r="S323" s="2"/>
      <c r="T323" s="2"/>
      <c r="U323" s="2"/>
      <c r="V323" s="2"/>
      <c r="W323" s="2"/>
    </row>
    <row r="324" spans="12:23">
      <c r="L324" s="2"/>
      <c r="M324" s="2"/>
      <c r="N324" s="2"/>
      <c r="O324" s="2"/>
      <c r="P324" s="2"/>
      <c r="Q324" s="2"/>
      <c r="R324" s="2"/>
      <c r="S324" s="2"/>
      <c r="T324" s="2"/>
      <c r="U324" s="2"/>
      <c r="V324" s="2"/>
      <c r="W324" s="2"/>
    </row>
    <row r="325" spans="12:23">
      <c r="L325" s="184"/>
      <c r="M325" s="184"/>
      <c r="N325" s="184"/>
      <c r="O325" s="184"/>
      <c r="P325" s="184"/>
      <c r="Q325" s="184"/>
      <c r="R325" s="184"/>
      <c r="S325" s="184"/>
      <c r="T325" s="184"/>
      <c r="U325" s="184"/>
      <c r="V325" s="184"/>
      <c r="W325" s="184"/>
    </row>
  </sheetData>
  <mergeCells count="52">
    <mergeCell ref="V29:V33"/>
    <mergeCell ref="P3:P33"/>
    <mergeCell ref="L29:L33"/>
    <mergeCell ref="B35:B39"/>
    <mergeCell ref="T3:T40"/>
    <mergeCell ref="U3:U40"/>
    <mergeCell ref="R3:R40"/>
    <mergeCell ref="S3:S40"/>
    <mergeCell ref="O35:O39"/>
    <mergeCell ref="P35:P39"/>
    <mergeCell ref="Q35:Q39"/>
    <mergeCell ref="Q11:Q13"/>
    <mergeCell ref="Q4:Q7"/>
    <mergeCell ref="Q8:Q10"/>
    <mergeCell ref="B11:B13"/>
    <mergeCell ref="M29:M33"/>
    <mergeCell ref="Q29:Q33"/>
    <mergeCell ref="K29:K33"/>
    <mergeCell ref="L1:O1"/>
    <mergeCell ref="A34:A40"/>
    <mergeCell ref="B29:B33"/>
    <mergeCell ref="J29:J33"/>
    <mergeCell ref="I29:I33"/>
    <mergeCell ref="M11:M13"/>
    <mergeCell ref="B14:B28"/>
    <mergeCell ref="B8:B10"/>
    <mergeCell ref="M4:M7"/>
    <mergeCell ref="J14:J22"/>
    <mergeCell ref="J23:J28"/>
    <mergeCell ref="B3:B7"/>
    <mergeCell ref="I11:I13"/>
    <mergeCell ref="J3:J7"/>
    <mergeCell ref="J8:J10"/>
    <mergeCell ref="I3:I7"/>
    <mergeCell ref="I8:I10"/>
    <mergeCell ref="J11:J13"/>
    <mergeCell ref="W3:W40"/>
    <mergeCell ref="I35:I39"/>
    <mergeCell ref="M35:M39"/>
    <mergeCell ref="J35:J39"/>
    <mergeCell ref="P1:S1"/>
    <mergeCell ref="M8:M10"/>
    <mergeCell ref="I14:I28"/>
    <mergeCell ref="M23:M28"/>
    <mergeCell ref="Q23:Q28"/>
    <mergeCell ref="M14:M22"/>
    <mergeCell ref="Q14:Q22"/>
    <mergeCell ref="K35:K39"/>
    <mergeCell ref="L35:L39"/>
    <mergeCell ref="N3:N39"/>
    <mergeCell ref="T1:U1"/>
    <mergeCell ref="L3:L28"/>
  </mergeCells>
  <hyperlinks>
    <hyperlink ref="J3:J7" r:id="rId1" display="Ebill Phase 2" xr:uid="{1301E50F-8CAC-49F5-A1D9-A98AB0C6F5CB}"/>
    <hyperlink ref="J14" r:id="rId2" xr:uid="{7147FD36-F7FB-49E3-B5B8-1D54789047A6}"/>
    <hyperlink ref="J23" r:id="rId3" xr:uid="{0ABA636F-9276-4103-9DDC-535F8545DAA7}"/>
    <hyperlink ref="J8:J10" r:id="rId4" display="Budget Bill" xr:uid="{4A0E0027-5EE5-4DCB-BF7C-671FC1849C70}"/>
    <hyperlink ref="J11:J13" r:id="rId5" display="Account Settings" xr:uid="{54284C7C-187C-4C5E-A5B1-754505A4A8D8}"/>
    <hyperlink ref="V11" r:id="rId6" display="Deeper analysis to the individual hops this transaction makes reveals that the reason this number is high is exclusively due to a call to Preferences (MongoDB) which was not touched for IR1.0._x000a_Our FPL Architect has decided this can be left as is since there is already a project underway to migrate MongoDB Preferences to UCDP, and will require a performance pass in the near future regardless._x000a_You can review this email thread here." xr:uid="{C5D66F1E-2CF4-4C5E-855E-17702AB28AF1}"/>
    <hyperlink ref="J29:J33" r:id="rId7" display="ABP Phase 1" xr:uid="{35B5EEB4-27BB-4C1D-9ADB-CEE0A6970710}"/>
    <hyperlink ref="J34" r:id="rId8" xr:uid="{73B8FB63-E80F-4467-BD9E-A2C30ACBF837}"/>
    <hyperlink ref="J35" r:id="rId9" xr:uid="{CB969803-D105-4003-9394-D1632F3A8525}"/>
    <hyperlink ref="J40" r:id="rId10" xr:uid="{59B3A8B8-9DAC-4330-A6D2-440A92486B8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6F55AE9-7329-4D76-9F86-60773EE50924}">
          <x14:formula1>
            <xm:f>'Execution Status'!$A$1:$A$8</xm:f>
          </x14:formula1>
          <xm:sqref>H3:H10 H34:H40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38268-6985-4BF1-92CC-13D99038CE83}">
  <dimension ref="A1:L29"/>
  <sheetViews>
    <sheetView workbookViewId="0">
      <selection activeCell="U31" sqref="U31"/>
    </sheetView>
  </sheetViews>
  <sheetFormatPr defaultRowHeight="15"/>
  <cols>
    <col min="1" max="1" width="33.7109375" customWidth="1"/>
  </cols>
  <sheetData>
    <row r="1" spans="1:1">
      <c r="A1" t="s">
        <v>792</v>
      </c>
    </row>
    <row r="2" spans="1:1">
      <c r="A2" t="s">
        <v>426</v>
      </c>
    </row>
    <row r="3" spans="1:1">
      <c r="A3" t="s">
        <v>791</v>
      </c>
    </row>
    <row r="4" spans="1:1">
      <c r="A4" t="s">
        <v>793</v>
      </c>
    </row>
    <row r="5" spans="1:1">
      <c r="A5" t="s">
        <v>794</v>
      </c>
    </row>
    <row r="6" spans="1:1">
      <c r="A6" t="s">
        <v>304</v>
      </c>
    </row>
    <row r="7" spans="1:1">
      <c r="A7" s="1" t="s">
        <v>98</v>
      </c>
    </row>
    <row r="8" spans="1:1">
      <c r="A8" t="s">
        <v>795</v>
      </c>
    </row>
    <row r="29" spans="12:12">
      <c r="L29" t="s">
        <v>796</v>
      </c>
    </row>
  </sheetData>
  <sortState xmlns:xlrd2="http://schemas.microsoft.com/office/spreadsheetml/2017/richdata2" ref="A1:A8">
    <sortCondition ref="A1:A8"/>
  </sortSt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53A01-6352-4E42-B731-4C96293D83B3}">
  <sheetPr>
    <tabColor rgb="FF92D050"/>
  </sheetPr>
  <dimension ref="A1:AA42"/>
  <sheetViews>
    <sheetView workbookViewId="0">
      <selection activeCell="M2" sqref="M2"/>
    </sheetView>
  </sheetViews>
  <sheetFormatPr defaultColWidth="9.140625" defaultRowHeight="15" customHeight="1"/>
  <cols>
    <col min="1" max="1" width="28.28515625" customWidth="1"/>
    <col min="2" max="2" width="18.85546875" customWidth="1"/>
    <col min="3" max="3" width="21.5703125" customWidth="1"/>
    <col min="4" max="4" width="17.28515625" customWidth="1"/>
    <col min="5" max="5" width="19.140625" customWidth="1"/>
    <col min="6" max="6" width="20.140625" customWidth="1"/>
    <col min="7" max="7" width="18.5703125" customWidth="1"/>
    <col min="8" max="8" width="20.28515625" customWidth="1"/>
    <col min="9" max="9" width="18" customWidth="1"/>
    <col min="10" max="10" width="17.7109375" customWidth="1"/>
    <col min="11" max="11" width="20" style="2" customWidth="1"/>
    <col min="12" max="12" width="38.42578125" style="2" customWidth="1"/>
    <col min="13" max="13" width="47.5703125" style="5" customWidth="1"/>
    <col min="14" max="14" width="109.42578125" customWidth="1"/>
    <col min="15" max="16" width="21" customWidth="1"/>
    <col min="17" max="17" width="22.140625" customWidth="1"/>
    <col min="18" max="18" width="21" customWidth="1"/>
    <col min="19" max="19" width="20.85546875" hidden="1" customWidth="1"/>
    <col min="20" max="20" width="68" hidden="1" customWidth="1"/>
  </cols>
  <sheetData>
    <row r="1" spans="1:27" s="8" customFormat="1" ht="31.5" customHeight="1">
      <c r="A1" s="202" t="s">
        <v>0</v>
      </c>
      <c r="B1" s="33" t="s">
        <v>3</v>
      </c>
      <c r="C1" s="33" t="s">
        <v>5</v>
      </c>
      <c r="D1" s="33" t="s">
        <v>6</v>
      </c>
      <c r="E1" s="33" t="s">
        <v>797</v>
      </c>
      <c r="F1" s="33" t="s">
        <v>798</v>
      </c>
      <c r="G1" s="33" t="s">
        <v>9</v>
      </c>
      <c r="H1" s="33" t="s">
        <v>10</v>
      </c>
      <c r="I1" s="33" t="s">
        <v>11</v>
      </c>
      <c r="J1" s="202" t="s">
        <v>12</v>
      </c>
      <c r="K1" s="202" t="s">
        <v>13</v>
      </c>
      <c r="L1" s="49" t="s">
        <v>14</v>
      </c>
      <c r="M1" s="49" t="s">
        <v>15</v>
      </c>
      <c r="N1" s="49" t="s">
        <v>16</v>
      </c>
    </row>
    <row r="2" spans="1:27" ht="30.75" customHeight="1">
      <c r="A2" s="203" t="s">
        <v>17</v>
      </c>
      <c r="B2" s="34">
        <v>6</v>
      </c>
      <c r="C2" s="34">
        <v>6</v>
      </c>
      <c r="D2" s="34">
        <v>6</v>
      </c>
      <c r="E2" s="34">
        <v>6</v>
      </c>
      <c r="F2" s="34">
        <v>6</v>
      </c>
      <c r="G2" s="34">
        <v>0</v>
      </c>
      <c r="H2" s="204">
        <v>1</v>
      </c>
      <c r="I2" s="34">
        <f t="shared" ref="I2:I8" si="0">B2-E2</f>
        <v>0</v>
      </c>
      <c r="J2" s="205">
        <f t="shared" ref="J2:J8" si="1">E2/B2*100</f>
        <v>100</v>
      </c>
      <c r="K2" s="205">
        <f t="shared" ref="K2:K8" si="2">F2/E2*100</f>
        <v>100</v>
      </c>
      <c r="L2" s="5" t="s">
        <v>19</v>
      </c>
      <c r="M2" s="5" t="s">
        <v>20</v>
      </c>
      <c r="N2" s="5" t="s">
        <v>21</v>
      </c>
    </row>
    <row r="3" spans="1:27" ht="30">
      <c r="A3" s="206" t="s">
        <v>22</v>
      </c>
      <c r="B3" s="36">
        <f>COUNTA('Case Management'!B3:B86)</f>
        <v>9</v>
      </c>
      <c r="C3" s="36">
        <v>6</v>
      </c>
      <c r="D3" s="36">
        <v>6</v>
      </c>
      <c r="E3" s="36">
        <v>6</v>
      </c>
      <c r="F3" s="36">
        <v>6</v>
      </c>
      <c r="G3" s="36">
        <v>0</v>
      </c>
      <c r="H3" s="207">
        <v>1</v>
      </c>
      <c r="I3" s="48">
        <f t="shared" si="0"/>
        <v>3</v>
      </c>
      <c r="J3" s="205">
        <f t="shared" si="1"/>
        <v>66.666666666666657</v>
      </c>
      <c r="K3" s="205">
        <f t="shared" si="2"/>
        <v>100</v>
      </c>
      <c r="L3" s="5" t="s">
        <v>23</v>
      </c>
      <c r="M3" s="5" t="s">
        <v>24</v>
      </c>
      <c r="N3" s="5" t="s">
        <v>25</v>
      </c>
    </row>
    <row r="4" spans="1:27" ht="45">
      <c r="A4" s="203" t="s">
        <v>26</v>
      </c>
      <c r="B4" s="34">
        <f>COUNTA('CS Field Service'!B3:B58)</f>
        <v>8</v>
      </c>
      <c r="C4" s="34">
        <v>5</v>
      </c>
      <c r="D4" s="34">
        <v>5</v>
      </c>
      <c r="E4" s="34">
        <v>5</v>
      </c>
      <c r="F4" s="34">
        <v>5</v>
      </c>
      <c r="G4" s="34">
        <v>0</v>
      </c>
      <c r="H4" s="204">
        <v>1</v>
      </c>
      <c r="I4" s="34">
        <f t="shared" si="0"/>
        <v>3</v>
      </c>
      <c r="J4" s="205">
        <f t="shared" si="1"/>
        <v>62.5</v>
      </c>
      <c r="K4" s="205">
        <f t="shared" si="2"/>
        <v>100</v>
      </c>
      <c r="L4" s="5" t="s">
        <v>23</v>
      </c>
      <c r="M4" s="5" t="s">
        <v>27</v>
      </c>
      <c r="N4" s="5" t="s">
        <v>28</v>
      </c>
    </row>
    <row r="5" spans="1:27" ht="31.5" customHeight="1">
      <c r="A5" s="208" t="s">
        <v>29</v>
      </c>
      <c r="B5" s="48">
        <v>9</v>
      </c>
      <c r="C5" s="48">
        <v>9</v>
      </c>
      <c r="D5" s="48">
        <v>9</v>
      </c>
      <c r="E5" s="48">
        <v>9</v>
      </c>
      <c r="F5" s="48">
        <v>9</v>
      </c>
      <c r="G5" s="48">
        <v>0</v>
      </c>
      <c r="H5" s="209">
        <v>1</v>
      </c>
      <c r="I5" s="48">
        <f t="shared" si="0"/>
        <v>0</v>
      </c>
      <c r="J5" s="210">
        <f t="shared" si="1"/>
        <v>100</v>
      </c>
      <c r="K5" s="205">
        <f t="shared" si="2"/>
        <v>100</v>
      </c>
      <c r="L5" s="5" t="s">
        <v>23</v>
      </c>
      <c r="M5" s="5" t="s">
        <v>24</v>
      </c>
      <c r="N5" s="5" t="s">
        <v>30</v>
      </c>
    </row>
    <row r="6" spans="1:27" ht="32.25" customHeight="1">
      <c r="A6" s="203" t="s">
        <v>31</v>
      </c>
      <c r="B6" s="34">
        <f>COUNTA('Integrations Mulesfot'!A3:A106)</f>
        <v>5</v>
      </c>
      <c r="C6" s="34">
        <v>5</v>
      </c>
      <c r="D6" s="34">
        <v>5</v>
      </c>
      <c r="E6" s="34">
        <v>5</v>
      </c>
      <c r="F6" s="34">
        <v>5</v>
      </c>
      <c r="G6" s="34">
        <v>0</v>
      </c>
      <c r="H6" s="204">
        <v>1</v>
      </c>
      <c r="I6" s="34">
        <f t="shared" si="0"/>
        <v>0</v>
      </c>
      <c r="J6" s="205">
        <f t="shared" si="1"/>
        <v>100</v>
      </c>
      <c r="K6" s="205">
        <f t="shared" si="2"/>
        <v>100</v>
      </c>
      <c r="L6" s="5" t="s">
        <v>23</v>
      </c>
      <c r="M6" s="5" t="s">
        <v>32</v>
      </c>
      <c r="N6" t="s">
        <v>33</v>
      </c>
    </row>
    <row r="7" spans="1:27" s="25" customFormat="1" ht="30">
      <c r="A7" s="208" t="s">
        <v>34</v>
      </c>
      <c r="B7" s="48">
        <f>COUNTA('Web Optimization &amp; Mobile'!B3:B84)</f>
        <v>8</v>
      </c>
      <c r="C7" s="48">
        <v>4</v>
      </c>
      <c r="D7" s="48">
        <v>4</v>
      </c>
      <c r="E7" s="48">
        <v>4</v>
      </c>
      <c r="F7" s="48">
        <v>4</v>
      </c>
      <c r="G7" s="48">
        <v>0</v>
      </c>
      <c r="H7" s="209">
        <v>1</v>
      </c>
      <c r="I7" s="48">
        <f t="shared" si="0"/>
        <v>4</v>
      </c>
      <c r="J7" s="205">
        <f t="shared" si="1"/>
        <v>50</v>
      </c>
      <c r="K7" s="205">
        <f t="shared" si="2"/>
        <v>100</v>
      </c>
      <c r="L7" t="s">
        <v>35</v>
      </c>
      <c r="M7" s="5" t="s">
        <v>36</v>
      </c>
      <c r="N7" s="5" t="s">
        <v>37</v>
      </c>
      <c r="O7"/>
      <c r="P7"/>
      <c r="Q7"/>
      <c r="R7"/>
      <c r="S7"/>
      <c r="T7"/>
      <c r="U7"/>
      <c r="V7"/>
      <c r="W7"/>
      <c r="X7"/>
      <c r="Y7"/>
      <c r="Z7"/>
      <c r="AA7"/>
    </row>
    <row r="8" spans="1:27" s="25" customFormat="1" ht="27.75" customHeight="1">
      <c r="A8" s="211" t="s">
        <v>38</v>
      </c>
      <c r="B8" s="47">
        <f>SUM(B2:B7)</f>
        <v>45</v>
      </c>
      <c r="C8" s="47">
        <f>SUM(C2:C7)</f>
        <v>35</v>
      </c>
      <c r="D8" s="47">
        <f>SUM(D2:D7)</f>
        <v>35</v>
      </c>
      <c r="E8" s="47">
        <f>SUM(E2:E7)</f>
        <v>35</v>
      </c>
      <c r="F8" s="47">
        <f>SUM(F2:F7)</f>
        <v>35</v>
      </c>
      <c r="G8" s="47">
        <v>0</v>
      </c>
      <c r="H8" s="212">
        <v>1</v>
      </c>
      <c r="I8" s="47">
        <f t="shared" si="0"/>
        <v>10</v>
      </c>
      <c r="J8" s="213">
        <f t="shared" si="1"/>
        <v>77.777777777777786</v>
      </c>
      <c r="K8" s="214">
        <f t="shared" si="2"/>
        <v>100</v>
      </c>
      <c r="L8"/>
      <c r="M8" s="5"/>
      <c r="N8"/>
      <c r="O8"/>
      <c r="P8"/>
      <c r="Q8"/>
      <c r="R8"/>
      <c r="S8"/>
      <c r="T8"/>
      <c r="U8"/>
      <c r="V8"/>
      <c r="W8"/>
      <c r="X8"/>
      <c r="Y8"/>
      <c r="Z8"/>
      <c r="AA8"/>
    </row>
    <row r="9" spans="1:27" ht="15" customHeight="1">
      <c r="K9"/>
      <c r="L9"/>
    </row>
    <row r="10" spans="1:27" ht="15" customHeight="1">
      <c r="K10"/>
      <c r="L10"/>
    </row>
    <row r="12" spans="1:27" ht="15" customHeight="1">
      <c r="A12" s="19" t="s">
        <v>39</v>
      </c>
      <c r="B12" s="19"/>
      <c r="C12" s="19"/>
      <c r="D12" s="19"/>
      <c r="E12" s="19"/>
      <c r="F12" s="19"/>
      <c r="G12" s="19"/>
      <c r="H12" s="19"/>
      <c r="I12" s="19"/>
      <c r="J12" s="19"/>
    </row>
    <row r="13" spans="1:27" ht="45.75" customHeight="1">
      <c r="A13" s="27" t="s">
        <v>0</v>
      </c>
      <c r="B13" s="33" t="s">
        <v>40</v>
      </c>
      <c r="C13" s="33" t="s">
        <v>41</v>
      </c>
      <c r="D13" s="33" t="s">
        <v>42</v>
      </c>
      <c r="E13" s="33" t="s">
        <v>43</v>
      </c>
      <c r="F13" s="33" t="s">
        <v>44</v>
      </c>
      <c r="G13" s="215"/>
    </row>
    <row r="14" spans="1:27" ht="15" customHeight="1">
      <c r="A14" s="29" t="s">
        <v>17</v>
      </c>
      <c r="B14" s="34">
        <v>6</v>
      </c>
      <c r="C14" s="34"/>
      <c r="D14" s="29"/>
      <c r="E14" s="29"/>
      <c r="F14" s="29"/>
      <c r="G14" s="216"/>
      <c r="L14" s="38"/>
    </row>
    <row r="15" spans="1:27" ht="15" customHeight="1">
      <c r="A15" s="30" t="s">
        <v>22</v>
      </c>
      <c r="B15" s="36"/>
      <c r="C15" s="36">
        <v>6</v>
      </c>
      <c r="D15" s="30"/>
      <c r="E15" s="30"/>
      <c r="F15" s="30"/>
      <c r="G15" s="16"/>
    </row>
    <row r="16" spans="1:27" ht="15" customHeight="1">
      <c r="A16" s="29" t="s">
        <v>26</v>
      </c>
      <c r="B16" s="34"/>
      <c r="C16" s="34"/>
      <c r="D16" s="29"/>
      <c r="E16" s="29">
        <v>3</v>
      </c>
      <c r="F16" s="29">
        <v>2</v>
      </c>
      <c r="G16" s="216"/>
    </row>
    <row r="17" spans="1:13" ht="15" customHeight="1">
      <c r="A17" s="31" t="s">
        <v>29</v>
      </c>
      <c r="B17" s="48"/>
      <c r="C17" s="48"/>
      <c r="D17" s="31"/>
      <c r="E17" s="31">
        <v>7</v>
      </c>
      <c r="F17" s="31">
        <v>2</v>
      </c>
      <c r="G17" s="217"/>
    </row>
    <row r="18" spans="1:13" ht="15" customHeight="1">
      <c r="A18" s="29" t="s">
        <v>31</v>
      </c>
      <c r="B18" s="34">
        <v>5</v>
      </c>
      <c r="C18" s="34"/>
      <c r="D18" s="29"/>
      <c r="E18" s="29"/>
      <c r="F18" s="29"/>
      <c r="G18" s="216"/>
    </row>
    <row r="19" spans="1:13" ht="15" hidden="1" customHeight="1">
      <c r="A19" s="29" t="s">
        <v>46</v>
      </c>
      <c r="B19" s="34"/>
      <c r="C19" s="34"/>
      <c r="D19" s="29"/>
      <c r="E19" s="29"/>
      <c r="F19" s="29"/>
      <c r="G19" s="216"/>
    </row>
    <row r="20" spans="1:13" ht="15" customHeight="1">
      <c r="A20" s="31" t="s">
        <v>34</v>
      </c>
      <c r="B20" s="48"/>
      <c r="C20" s="48"/>
      <c r="D20" s="31"/>
      <c r="E20" s="31">
        <v>1</v>
      </c>
      <c r="F20" s="31">
        <v>3</v>
      </c>
      <c r="G20" s="217"/>
    </row>
    <row r="21" spans="1:13" ht="15" customHeight="1">
      <c r="A21" s="35" t="s">
        <v>38</v>
      </c>
      <c r="B21" s="47">
        <f>SUM(B14:B20)</f>
        <v>11</v>
      </c>
      <c r="C21" s="47">
        <f>SUM(C14:C20)</f>
        <v>6</v>
      </c>
      <c r="D21" s="47">
        <f>SUM(D14:D20)</f>
        <v>0</v>
      </c>
      <c r="E21" s="47">
        <f>SUM(E14:E20)</f>
        <v>11</v>
      </c>
      <c r="F21" s="47">
        <f>SUM(F14:F20)</f>
        <v>7</v>
      </c>
      <c r="G21" s="218"/>
    </row>
    <row r="23" spans="1:13" s="8" customFormat="1" ht="15" customHeight="1">
      <c r="A23" s="27" t="s">
        <v>0</v>
      </c>
      <c r="B23" s="28" t="s">
        <v>3</v>
      </c>
      <c r="C23" s="28" t="s">
        <v>7</v>
      </c>
      <c r="D23" s="27" t="s">
        <v>8</v>
      </c>
      <c r="E23" s="27" t="s">
        <v>9</v>
      </c>
      <c r="F23" s="27" t="s">
        <v>10</v>
      </c>
      <c r="G23" s="27"/>
      <c r="H23" s="27" t="s">
        <v>12</v>
      </c>
      <c r="I23" s="27" t="s">
        <v>13</v>
      </c>
      <c r="J23" s="49" t="s">
        <v>14</v>
      </c>
      <c r="K23" s="49" t="s">
        <v>15</v>
      </c>
      <c r="L23" s="49" t="s">
        <v>16</v>
      </c>
      <c r="M23" s="5"/>
    </row>
    <row r="24" spans="1:13" ht="27" customHeight="1">
      <c r="A24" s="29" t="s">
        <v>47</v>
      </c>
      <c r="B24" s="29">
        <v>8</v>
      </c>
      <c r="C24" s="29"/>
      <c r="D24" s="29"/>
      <c r="E24" s="29"/>
      <c r="F24" s="29"/>
      <c r="G24" s="29"/>
      <c r="H24" s="29"/>
      <c r="I24" s="29"/>
      <c r="J24" s="29"/>
      <c r="K24" s="29"/>
      <c r="L24" s="29"/>
    </row>
    <row r="25" spans="1:13" ht="26.25" customHeight="1">
      <c r="A25" s="30" t="s">
        <v>46</v>
      </c>
      <c r="B25" s="30">
        <v>4</v>
      </c>
      <c r="C25" s="30"/>
      <c r="D25" s="30"/>
      <c r="E25" s="31"/>
      <c r="F25" s="30"/>
      <c r="G25" s="30"/>
      <c r="H25" s="31"/>
      <c r="I25" s="31"/>
      <c r="J25" s="31"/>
      <c r="K25" s="31"/>
      <c r="L25" s="31"/>
    </row>
    <row r="28" spans="1:13" ht="34.5" customHeight="1">
      <c r="A28" s="18" t="s">
        <v>0</v>
      </c>
      <c r="B28" s="23" t="s">
        <v>1</v>
      </c>
      <c r="C28" s="23" t="s">
        <v>48</v>
      </c>
      <c r="D28" s="23" t="s">
        <v>49</v>
      </c>
      <c r="E28" s="21" t="s">
        <v>50</v>
      </c>
      <c r="F28" s="21" t="s">
        <v>4</v>
      </c>
      <c r="G28" s="219"/>
      <c r="H28" s="2"/>
      <c r="I28" s="2"/>
      <c r="J28" s="2"/>
    </row>
    <row r="29" spans="1:13" ht="15" hidden="1" customHeight="1">
      <c r="A29" s="24" t="s">
        <v>17</v>
      </c>
      <c r="B29" s="22" t="s">
        <v>18</v>
      </c>
      <c r="C29" s="22" t="s">
        <v>18</v>
      </c>
      <c r="D29" s="22" t="s">
        <v>51</v>
      </c>
      <c r="E29" s="17">
        <f>COUNTA('Architecture (UCDP)'!A78:A176)</f>
        <v>0</v>
      </c>
      <c r="F29" s="17">
        <v>50</v>
      </c>
      <c r="G29" s="220"/>
      <c r="H29" s="2"/>
      <c r="I29" s="2"/>
      <c r="J29" s="2"/>
    </row>
    <row r="30" spans="1:13" ht="15" hidden="1" customHeight="1">
      <c r="A30" s="24" t="s">
        <v>22</v>
      </c>
      <c r="B30" s="22" t="s">
        <v>18</v>
      </c>
      <c r="C30" s="22" t="s">
        <v>18</v>
      </c>
      <c r="D30" s="16" t="s">
        <v>52</v>
      </c>
      <c r="E30" s="7">
        <f>COUNTA('Case Management'!B26:B119)</f>
        <v>7</v>
      </c>
      <c r="F30" s="7">
        <v>36</v>
      </c>
      <c r="G30" s="220"/>
      <c r="H30" s="2"/>
      <c r="I30" s="2"/>
      <c r="J30" s="2"/>
    </row>
    <row r="31" spans="1:13" ht="15" hidden="1" customHeight="1">
      <c r="A31" s="24" t="s">
        <v>53</v>
      </c>
      <c r="B31" s="22" t="s">
        <v>18</v>
      </c>
      <c r="C31" s="22" t="s">
        <v>18</v>
      </c>
      <c r="D31" s="22" t="s">
        <v>54</v>
      </c>
      <c r="E31" s="7">
        <v>8</v>
      </c>
      <c r="F31" s="7">
        <f>COUNTA('Convo AI (IVR)'!B131:B228)</f>
        <v>42</v>
      </c>
      <c r="G31" s="220"/>
      <c r="H31" s="2"/>
      <c r="I31" s="2"/>
      <c r="J31" s="2"/>
    </row>
    <row r="32" spans="1:13" ht="15" hidden="1" customHeight="1">
      <c r="A32" s="24" t="s">
        <v>26</v>
      </c>
      <c r="B32" s="22" t="s">
        <v>18</v>
      </c>
      <c r="C32" s="22" t="s">
        <v>18</v>
      </c>
      <c r="D32" s="16" t="s">
        <v>52</v>
      </c>
      <c r="E32" s="7">
        <f>COUNTA('CS Field Service'!B29:B94)</f>
        <v>11</v>
      </c>
      <c r="F32" s="7">
        <f>COUNTA('CS Field Service'!C29:C94)</f>
        <v>39</v>
      </c>
      <c r="G32" s="220"/>
      <c r="H32" s="2"/>
      <c r="I32" s="2"/>
      <c r="J32" s="2"/>
    </row>
    <row r="33" spans="1:10" ht="15" hidden="1" customHeight="1">
      <c r="A33" s="24" t="s">
        <v>55</v>
      </c>
      <c r="B33" s="22" t="s">
        <v>56</v>
      </c>
      <c r="C33" s="22" t="s">
        <v>57</v>
      </c>
      <c r="D33" s="22" t="s">
        <v>56</v>
      </c>
      <c r="E33" s="7" t="s">
        <v>58</v>
      </c>
      <c r="F33" s="7" t="s">
        <v>58</v>
      </c>
      <c r="G33" s="220"/>
      <c r="H33" s="2"/>
      <c r="I33" s="2"/>
      <c r="J33" s="2"/>
    </row>
    <row r="34" spans="1:10" ht="15" hidden="1" customHeight="1">
      <c r="A34" s="24" t="s">
        <v>29</v>
      </c>
      <c r="B34" s="22" t="s">
        <v>18</v>
      </c>
      <c r="C34" s="22" t="s">
        <v>18</v>
      </c>
      <c r="D34" s="16" t="s">
        <v>52</v>
      </c>
      <c r="E34" s="7">
        <f>COUNTA('Employee Desktop'!B33:B126)</f>
        <v>13</v>
      </c>
      <c r="F34" s="7">
        <f>COUNTA('Employee Desktop'!C33:C127)</f>
        <v>68</v>
      </c>
      <c r="G34" s="220"/>
      <c r="H34" s="2"/>
      <c r="I34" s="2"/>
      <c r="J34" s="2"/>
    </row>
    <row r="35" spans="1:10" ht="15" hidden="1" customHeight="1">
      <c r="A35" s="24" t="s">
        <v>31</v>
      </c>
      <c r="B35" s="22" t="s">
        <v>18</v>
      </c>
      <c r="C35" s="22" t="s">
        <v>18</v>
      </c>
      <c r="D35" s="22" t="s">
        <v>59</v>
      </c>
      <c r="E35" s="7">
        <v>5</v>
      </c>
      <c r="F35" s="7">
        <f>COUNTA('Integrations Mulesfot'!B35:B139)</f>
        <v>0</v>
      </c>
      <c r="G35" s="220"/>
      <c r="H35" s="2"/>
      <c r="I35" s="2"/>
      <c r="J35" s="2"/>
    </row>
    <row r="36" spans="1:10" ht="52.5" hidden="1" customHeight="1">
      <c r="A36" s="24" t="s">
        <v>60</v>
      </c>
      <c r="B36" s="22" t="s">
        <v>56</v>
      </c>
      <c r="C36" s="40" t="s">
        <v>61</v>
      </c>
      <c r="D36" s="22" t="s">
        <v>56</v>
      </c>
      <c r="E36" s="7" t="s">
        <v>58</v>
      </c>
      <c r="F36" s="7" t="s">
        <v>58</v>
      </c>
      <c r="G36" s="220"/>
      <c r="H36" s="2"/>
      <c r="I36" s="2"/>
      <c r="J36" s="2"/>
    </row>
    <row r="37" spans="1:10" ht="60" customHeight="1">
      <c r="A37" s="24" t="s">
        <v>62</v>
      </c>
      <c r="B37" s="22" t="s">
        <v>56</v>
      </c>
      <c r="C37" s="40" t="s">
        <v>63</v>
      </c>
      <c r="D37" s="22" t="s">
        <v>58</v>
      </c>
      <c r="E37" s="7" t="s">
        <v>58</v>
      </c>
      <c r="F37" s="7" t="s">
        <v>58</v>
      </c>
      <c r="G37" s="220"/>
      <c r="H37" s="2"/>
      <c r="I37" s="2"/>
      <c r="J37" s="2"/>
    </row>
    <row r="38" spans="1:10" ht="15" customHeight="1">
      <c r="A38" s="24" t="s">
        <v>64</v>
      </c>
      <c r="B38" s="22" t="s">
        <v>58</v>
      </c>
      <c r="C38" s="22" t="s">
        <v>58</v>
      </c>
      <c r="D38" s="22" t="s">
        <v>58</v>
      </c>
      <c r="E38" s="7" t="s">
        <v>58</v>
      </c>
      <c r="F38" s="7" t="s">
        <v>58</v>
      </c>
      <c r="G38" s="220"/>
      <c r="H38" s="2"/>
      <c r="I38" s="2"/>
      <c r="J38" s="2"/>
    </row>
    <row r="39" spans="1:10" ht="56.25" customHeight="1">
      <c r="A39" s="24" t="s">
        <v>65</v>
      </c>
      <c r="B39" s="22" t="s">
        <v>56</v>
      </c>
      <c r="C39" s="40" t="s">
        <v>66</v>
      </c>
      <c r="D39" s="22" t="s">
        <v>56</v>
      </c>
      <c r="E39" s="7" t="s">
        <v>58</v>
      </c>
      <c r="F39" s="7" t="s">
        <v>58</v>
      </c>
      <c r="G39" s="220"/>
      <c r="H39" s="2"/>
      <c r="I39" s="2"/>
      <c r="J39" s="2"/>
    </row>
    <row r="40" spans="1:10" ht="35.25" customHeight="1">
      <c r="A40" s="24" t="s">
        <v>67</v>
      </c>
      <c r="B40" s="22" t="s">
        <v>56</v>
      </c>
      <c r="C40" s="40" t="s">
        <v>68</v>
      </c>
      <c r="D40" s="22" t="s">
        <v>56</v>
      </c>
      <c r="E40" s="7" t="s">
        <v>58</v>
      </c>
      <c r="F40" s="7" t="s">
        <v>58</v>
      </c>
      <c r="G40" s="220"/>
      <c r="H40" s="2"/>
      <c r="I40" s="2"/>
      <c r="J40" s="2"/>
    </row>
    <row r="41" spans="1:10" ht="15" customHeight="1">
      <c r="A41" s="24" t="s">
        <v>46</v>
      </c>
      <c r="B41" s="22" t="s">
        <v>18</v>
      </c>
      <c r="C41" s="22" t="s">
        <v>18</v>
      </c>
      <c r="D41" s="22" t="s">
        <v>54</v>
      </c>
      <c r="E41" s="7">
        <v>4</v>
      </c>
      <c r="F41" s="7">
        <v>27</v>
      </c>
      <c r="G41" s="220"/>
      <c r="H41" s="2"/>
      <c r="I41" s="2"/>
      <c r="J41" s="2"/>
    </row>
    <row r="42" spans="1:10" ht="15" customHeight="1">
      <c r="A42" s="24" t="s">
        <v>34</v>
      </c>
      <c r="B42" s="22" t="s">
        <v>18</v>
      </c>
      <c r="C42" s="22" t="s">
        <v>18</v>
      </c>
      <c r="D42" s="41" t="s">
        <v>69</v>
      </c>
      <c r="E42" s="7">
        <f>COUNTA(Telephony!A37:A153)</f>
        <v>0</v>
      </c>
      <c r="F42" s="7">
        <f>COUNTA(Telephony!B37:B126)</f>
        <v>0</v>
      </c>
      <c r="G42" s="220"/>
      <c r="H42" s="2"/>
      <c r="I42" s="2"/>
      <c r="J42"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4FA0-31EE-40BF-BE2A-F12C4A39DF9F}">
  <sheetPr>
    <tabColor rgb="FFFF0000"/>
  </sheetPr>
  <dimension ref="A1:I61"/>
  <sheetViews>
    <sheetView workbookViewId="0">
      <selection activeCell="C31" sqref="C31"/>
    </sheetView>
  </sheetViews>
  <sheetFormatPr defaultRowHeight="15"/>
  <cols>
    <col min="1" max="1" width="21" customWidth="1"/>
    <col min="2" max="2" width="21.42578125" customWidth="1"/>
    <col min="3" max="3" width="30.5703125" customWidth="1"/>
    <col min="4" max="4" width="10.7109375" customWidth="1"/>
    <col min="5" max="5" width="9.140625" customWidth="1"/>
    <col min="6" max="6" width="21.7109375" bestFit="1" customWidth="1"/>
    <col min="7" max="7" width="9" bestFit="1" customWidth="1"/>
    <col min="8" max="9" width="22.28515625" customWidth="1"/>
  </cols>
  <sheetData>
    <row r="1" spans="1:9">
      <c r="B1" s="5"/>
      <c r="D1" s="16"/>
    </row>
    <row r="2" spans="1:9" ht="60">
      <c r="A2" s="100" t="s">
        <v>0</v>
      </c>
      <c r="B2" s="100" t="s">
        <v>78</v>
      </c>
      <c r="C2" s="101" t="s">
        <v>79</v>
      </c>
      <c r="D2" s="103" t="s">
        <v>85</v>
      </c>
      <c r="E2" s="112" t="s">
        <v>192</v>
      </c>
      <c r="F2" s="112" t="s">
        <v>372</v>
      </c>
      <c r="G2" s="112" t="s">
        <v>373</v>
      </c>
      <c r="H2" s="42" t="s">
        <v>374</v>
      </c>
      <c r="I2" s="42" t="s">
        <v>375</v>
      </c>
    </row>
    <row r="3" spans="1:9">
      <c r="A3" s="424" t="s">
        <v>799</v>
      </c>
      <c r="B3" s="558" t="s">
        <v>380</v>
      </c>
      <c r="C3" s="3" t="s">
        <v>800</v>
      </c>
      <c r="D3" s="45" t="s">
        <v>98</v>
      </c>
      <c r="E3" s="45">
        <v>30</v>
      </c>
      <c r="F3" s="155">
        <v>0.249</v>
      </c>
      <c r="G3" s="155">
        <v>0.34300000000000003</v>
      </c>
      <c r="H3" s="126"/>
      <c r="I3" s="45"/>
    </row>
    <row r="4" spans="1:9">
      <c r="A4" s="424"/>
      <c r="B4" s="558"/>
      <c r="C4" s="3" t="s">
        <v>678</v>
      </c>
      <c r="D4" s="97" t="s">
        <v>98</v>
      </c>
      <c r="E4" s="45">
        <v>30</v>
      </c>
      <c r="F4" s="96">
        <v>7.468</v>
      </c>
      <c r="G4" s="96">
        <v>7.6159999999999997</v>
      </c>
      <c r="H4" s="156">
        <v>3.5870000000000002</v>
      </c>
      <c r="I4" s="155">
        <v>3.8410000000000002</v>
      </c>
    </row>
    <row r="5" spans="1:9">
      <c r="A5" s="424"/>
      <c r="B5" s="558"/>
      <c r="C5" s="3" t="s">
        <v>801</v>
      </c>
      <c r="D5" s="97" t="s">
        <v>98</v>
      </c>
      <c r="E5" s="45">
        <v>30</v>
      </c>
      <c r="F5" s="155">
        <v>2.1389999999999998</v>
      </c>
      <c r="G5" s="155">
        <v>2.7269999999999999</v>
      </c>
      <c r="H5" s="126"/>
      <c r="I5" s="45"/>
    </row>
    <row r="6" spans="1:9" ht="30">
      <c r="A6" s="424"/>
      <c r="B6" s="558"/>
      <c r="C6" s="6" t="s">
        <v>802</v>
      </c>
      <c r="D6" s="97" t="s">
        <v>98</v>
      </c>
      <c r="E6" s="45">
        <v>30</v>
      </c>
      <c r="F6" s="96">
        <v>6.4390000000000001</v>
      </c>
      <c r="G6" s="96">
        <v>9.6829999999999998</v>
      </c>
      <c r="H6" s="129"/>
      <c r="I6" s="196"/>
    </row>
    <row r="7" spans="1:9">
      <c r="A7" s="424"/>
      <c r="B7" s="558"/>
      <c r="C7" s="3" t="s">
        <v>803</v>
      </c>
      <c r="D7" s="97" t="s">
        <v>98</v>
      </c>
      <c r="E7" s="45">
        <v>30</v>
      </c>
      <c r="F7" s="155">
        <v>2.6040000000000001</v>
      </c>
      <c r="G7" s="155">
        <v>2.5630000000000002</v>
      </c>
      <c r="H7" s="126"/>
      <c r="I7" s="45"/>
    </row>
    <row r="8" spans="1:9">
      <c r="A8" s="424"/>
      <c r="B8" s="559"/>
      <c r="C8" s="86" t="s">
        <v>804</v>
      </c>
      <c r="D8" s="195" t="s">
        <v>98</v>
      </c>
      <c r="E8" s="88">
        <v>30</v>
      </c>
      <c r="F8" s="106">
        <v>7.431</v>
      </c>
      <c r="G8" s="106">
        <v>12.707000000000001</v>
      </c>
      <c r="H8" s="134"/>
      <c r="I8" s="197"/>
    </row>
    <row r="9" spans="1:9">
      <c r="A9" s="424"/>
      <c r="B9" s="654" t="s">
        <v>403</v>
      </c>
      <c r="C9" s="3" t="s">
        <v>800</v>
      </c>
      <c r="D9" s="97" t="s">
        <v>98</v>
      </c>
      <c r="E9" s="45">
        <v>30</v>
      </c>
      <c r="F9" s="155">
        <v>0.22600000000000001</v>
      </c>
      <c r="G9" s="155">
        <v>0.27700000000000002</v>
      </c>
      <c r="H9" s="126"/>
      <c r="I9" s="45"/>
    </row>
    <row r="10" spans="1:9">
      <c r="A10" s="424"/>
      <c r="B10" s="558"/>
      <c r="C10" s="3" t="s">
        <v>678</v>
      </c>
      <c r="D10" s="45" t="s">
        <v>98</v>
      </c>
      <c r="E10" s="45">
        <v>30</v>
      </c>
      <c r="F10" s="96">
        <v>8.0009999999999994</v>
      </c>
      <c r="G10" s="96">
        <v>7.46</v>
      </c>
      <c r="H10" s="156">
        <v>3.5870000000000002</v>
      </c>
      <c r="I10" s="155">
        <v>3.8410000000000002</v>
      </c>
    </row>
    <row r="11" spans="1:9">
      <c r="A11" s="424"/>
      <c r="B11" s="558"/>
      <c r="C11" s="3" t="s">
        <v>801</v>
      </c>
      <c r="D11" s="45" t="s">
        <v>98</v>
      </c>
      <c r="E11" s="45">
        <v>30</v>
      </c>
      <c r="F11" s="155">
        <v>2.0739999999999998</v>
      </c>
      <c r="G11" s="155">
        <v>2.3780000000000001</v>
      </c>
      <c r="H11" s="126"/>
      <c r="I11" s="45"/>
    </row>
    <row r="12" spans="1:9">
      <c r="A12" s="424"/>
      <c r="B12" s="558"/>
      <c r="C12" s="3" t="s">
        <v>805</v>
      </c>
      <c r="D12" s="45" t="s">
        <v>98</v>
      </c>
      <c r="E12" s="45">
        <v>30</v>
      </c>
      <c r="F12" s="96">
        <v>7.5609999999999999</v>
      </c>
      <c r="G12" s="96">
        <v>11.679</v>
      </c>
      <c r="H12" s="129"/>
      <c r="I12" s="196"/>
    </row>
    <row r="13" spans="1:9">
      <c r="A13" s="424"/>
      <c r="B13" s="558"/>
      <c r="C13" s="3" t="s">
        <v>803</v>
      </c>
      <c r="D13" s="45" t="s">
        <v>98</v>
      </c>
      <c r="E13" s="45">
        <v>30</v>
      </c>
      <c r="F13" s="155">
        <v>2.5960000000000001</v>
      </c>
      <c r="G13" s="155">
        <v>2.9220000000000002</v>
      </c>
      <c r="H13" s="126"/>
      <c r="I13" s="45"/>
    </row>
    <row r="14" spans="1:9">
      <c r="A14" s="424"/>
      <c r="B14" s="559"/>
      <c r="C14" s="86" t="s">
        <v>804</v>
      </c>
      <c r="D14" s="88" t="s">
        <v>98</v>
      </c>
      <c r="E14" s="88">
        <v>30</v>
      </c>
      <c r="F14" s="106">
        <v>8.2360000000000007</v>
      </c>
      <c r="G14" s="106">
        <v>11.108000000000001</v>
      </c>
      <c r="H14" s="134"/>
      <c r="I14" s="197"/>
    </row>
    <row r="15" spans="1:9">
      <c r="A15" s="424"/>
      <c r="B15" s="558" t="s">
        <v>408</v>
      </c>
      <c r="C15" s="3" t="s">
        <v>800</v>
      </c>
      <c r="D15" s="45" t="s">
        <v>98</v>
      </c>
      <c r="E15" s="45">
        <v>30</v>
      </c>
      <c r="F15" s="155">
        <v>0.22900000000000001</v>
      </c>
      <c r="G15" s="155">
        <v>0.3</v>
      </c>
      <c r="H15" s="126"/>
      <c r="I15" s="45"/>
    </row>
    <row r="16" spans="1:9">
      <c r="A16" s="424"/>
      <c r="B16" s="558"/>
      <c r="C16" s="3" t="s">
        <v>678</v>
      </c>
      <c r="D16" s="45" t="s">
        <v>98</v>
      </c>
      <c r="E16" s="45">
        <v>30</v>
      </c>
      <c r="F16" s="96">
        <v>7.61</v>
      </c>
      <c r="G16" s="96">
        <v>8.7560000000000002</v>
      </c>
      <c r="H16" s="156">
        <v>3.5870000000000002</v>
      </c>
      <c r="I16" s="155">
        <v>3.8410000000000002</v>
      </c>
    </row>
    <row r="17" spans="1:9">
      <c r="A17" s="424"/>
      <c r="B17" s="558"/>
      <c r="C17" s="3" t="s">
        <v>801</v>
      </c>
      <c r="D17" s="45" t="s">
        <v>98</v>
      </c>
      <c r="E17" s="45">
        <v>30</v>
      </c>
      <c r="F17" s="155">
        <v>2.1560000000000001</v>
      </c>
      <c r="G17" s="155">
        <v>2.734</v>
      </c>
      <c r="H17" s="126"/>
      <c r="I17" s="45"/>
    </row>
    <row r="18" spans="1:9" ht="30">
      <c r="A18" s="424"/>
      <c r="B18" s="558"/>
      <c r="C18" s="6" t="s">
        <v>806</v>
      </c>
      <c r="D18" s="45" t="s">
        <v>98</v>
      </c>
      <c r="E18" s="45">
        <v>30</v>
      </c>
      <c r="F18" s="96">
        <v>7.1050000000000004</v>
      </c>
      <c r="G18" s="96">
        <v>9.8680000000000003</v>
      </c>
      <c r="H18" s="129"/>
      <c r="I18" s="196"/>
    </row>
    <row r="19" spans="1:9">
      <c r="A19" s="424"/>
      <c r="B19" s="558"/>
      <c r="C19" s="3" t="s">
        <v>803</v>
      </c>
      <c r="D19" s="45" t="s">
        <v>98</v>
      </c>
      <c r="E19" s="45">
        <v>30</v>
      </c>
      <c r="F19" s="155">
        <v>2.532</v>
      </c>
      <c r="G19" s="155">
        <v>3.044</v>
      </c>
      <c r="H19" s="126"/>
      <c r="I19" s="45"/>
    </row>
    <row r="20" spans="1:9">
      <c r="A20" s="424"/>
      <c r="B20" s="559"/>
      <c r="C20" s="86" t="s">
        <v>804</v>
      </c>
      <c r="D20" s="88" t="s">
        <v>98</v>
      </c>
      <c r="E20" s="88">
        <v>30</v>
      </c>
      <c r="F20" s="106">
        <v>6.9880000000000004</v>
      </c>
      <c r="G20" s="106">
        <v>8.3710000000000004</v>
      </c>
      <c r="H20" s="134"/>
      <c r="I20" s="197"/>
    </row>
    <row r="21" spans="1:9">
      <c r="A21" s="424"/>
      <c r="B21" s="99" t="s">
        <v>411</v>
      </c>
      <c r="C21" s="3" t="s">
        <v>412</v>
      </c>
      <c r="D21" s="45" t="s">
        <v>98</v>
      </c>
      <c r="E21" s="45">
        <v>2000</v>
      </c>
      <c r="F21" s="155">
        <v>0.78900000000000003</v>
      </c>
      <c r="G21" s="155">
        <v>1.3009999999999999</v>
      </c>
      <c r="H21" s="45"/>
      <c r="I21" s="45"/>
    </row>
    <row r="22" spans="1:9">
      <c r="A22" s="427"/>
      <c r="B22" s="6" t="s">
        <v>411</v>
      </c>
      <c r="C22" s="3" t="s">
        <v>413</v>
      </c>
      <c r="D22" s="45" t="s">
        <v>98</v>
      </c>
      <c r="E22" s="45">
        <v>2000</v>
      </c>
      <c r="F22" s="155">
        <v>0.56299999999999994</v>
      </c>
      <c r="G22" s="155">
        <v>0.95899999999999996</v>
      </c>
      <c r="H22" s="45"/>
      <c r="I22" s="45"/>
    </row>
    <row r="23" spans="1:9" ht="21.75" customHeight="1">
      <c r="A23" s="630" t="s">
        <v>34</v>
      </c>
      <c r="B23" s="623" t="s">
        <v>753</v>
      </c>
      <c r="C23" s="3" t="s">
        <v>486</v>
      </c>
      <c r="D23" s="45" t="s">
        <v>98</v>
      </c>
      <c r="E23" s="133">
        <v>3346</v>
      </c>
      <c r="F23" s="171">
        <v>2.69</v>
      </c>
      <c r="G23" s="169">
        <v>4.38</v>
      </c>
      <c r="H23" s="648"/>
      <c r="I23" s="649"/>
    </row>
    <row r="24" spans="1:9" ht="14.45" customHeight="1">
      <c r="A24" s="623"/>
      <c r="B24" s="623"/>
      <c r="C24" s="3" t="s">
        <v>487</v>
      </c>
      <c r="D24" s="45" t="s">
        <v>98</v>
      </c>
      <c r="E24" s="133">
        <v>3379</v>
      </c>
      <c r="F24" s="171">
        <v>1.55</v>
      </c>
      <c r="G24" s="172">
        <v>1.05</v>
      </c>
      <c r="H24" s="650"/>
      <c r="I24" s="651"/>
    </row>
    <row r="25" spans="1:9" ht="14.45" customHeight="1">
      <c r="A25" s="623"/>
      <c r="B25" s="623"/>
      <c r="C25" s="3" t="s">
        <v>757</v>
      </c>
      <c r="D25" s="45" t="s">
        <v>98</v>
      </c>
      <c r="E25" s="133">
        <v>3374</v>
      </c>
      <c r="F25" s="171">
        <v>0.13</v>
      </c>
      <c r="G25" s="172">
        <v>0.17</v>
      </c>
      <c r="H25" s="652"/>
      <c r="I25" s="653"/>
    </row>
    <row r="26" spans="1:9">
      <c r="B26" s="5"/>
      <c r="D26" s="16"/>
    </row>
    <row r="27" spans="1:9">
      <c r="B27" s="5"/>
      <c r="D27" s="16"/>
    </row>
    <row r="28" spans="1:9">
      <c r="B28" s="5"/>
      <c r="D28" s="16"/>
    </row>
    <row r="29" spans="1:9">
      <c r="B29" s="5"/>
      <c r="D29" s="16"/>
    </row>
    <row r="30" spans="1:9">
      <c r="B30" s="5"/>
      <c r="D30" s="16"/>
    </row>
    <row r="31" spans="1:9">
      <c r="B31" s="5"/>
      <c r="D31" s="16"/>
    </row>
    <row r="32" spans="1:9">
      <c r="B32" s="5"/>
      <c r="D32" s="16"/>
    </row>
    <row r="33" spans="2:4">
      <c r="B33" s="5"/>
      <c r="D33" s="16"/>
    </row>
    <row r="34" spans="2:4">
      <c r="B34" s="5"/>
      <c r="D34" s="16"/>
    </row>
    <row r="35" spans="2:4">
      <c r="B35" s="5"/>
      <c r="D35" s="16"/>
    </row>
    <row r="36" spans="2:4">
      <c r="B36" s="5"/>
      <c r="D36" s="16"/>
    </row>
    <row r="37" spans="2:4">
      <c r="B37" s="5"/>
      <c r="D37" s="16"/>
    </row>
    <row r="38" spans="2:4">
      <c r="B38" s="5"/>
      <c r="D38" s="16"/>
    </row>
    <row r="39" spans="2:4">
      <c r="B39" s="5"/>
      <c r="D39" s="16"/>
    </row>
    <row r="40" spans="2:4">
      <c r="B40" s="5"/>
      <c r="D40" s="16"/>
    </row>
    <row r="41" spans="2:4">
      <c r="B41" s="5"/>
      <c r="D41" s="16"/>
    </row>
    <row r="42" spans="2:4">
      <c r="B42" s="5"/>
      <c r="D42" s="16"/>
    </row>
    <row r="43" spans="2:4">
      <c r="B43" s="5"/>
      <c r="D43" s="16"/>
    </row>
    <row r="44" spans="2:4">
      <c r="B44" s="5"/>
      <c r="D44" s="16"/>
    </row>
    <row r="45" spans="2:4">
      <c r="B45" s="5"/>
      <c r="D45" s="16"/>
    </row>
    <row r="46" spans="2:4">
      <c r="B46" s="5"/>
      <c r="D46" s="16"/>
    </row>
    <row r="47" spans="2:4">
      <c r="B47" s="5"/>
      <c r="D47" s="16"/>
    </row>
    <row r="48" spans="2:4">
      <c r="B48" s="5"/>
      <c r="D48" s="16"/>
    </row>
    <row r="49" spans="2:4">
      <c r="B49" s="5"/>
      <c r="D49" s="16"/>
    </row>
    <row r="50" spans="2:4">
      <c r="B50" s="5"/>
      <c r="D50" s="16"/>
    </row>
    <row r="51" spans="2:4">
      <c r="B51" s="5"/>
      <c r="D51" s="16"/>
    </row>
    <row r="52" spans="2:4">
      <c r="B52" s="5"/>
      <c r="D52" s="16"/>
    </row>
    <row r="53" spans="2:4">
      <c r="B53" s="5"/>
      <c r="D53" s="16"/>
    </row>
    <row r="54" spans="2:4">
      <c r="B54" s="5"/>
      <c r="D54" s="16"/>
    </row>
    <row r="55" spans="2:4">
      <c r="B55" s="5"/>
      <c r="D55" s="16"/>
    </row>
    <row r="56" spans="2:4">
      <c r="B56" s="5"/>
      <c r="D56" s="16"/>
    </row>
    <row r="57" spans="2:4">
      <c r="B57" s="5"/>
      <c r="D57" s="16"/>
    </row>
    <row r="58" spans="2:4">
      <c r="B58" s="5"/>
      <c r="D58" s="16"/>
    </row>
    <row r="59" spans="2:4">
      <c r="B59" s="5"/>
      <c r="D59" s="16"/>
    </row>
    <row r="60" spans="2:4">
      <c r="B60" s="5"/>
      <c r="D60" s="16"/>
    </row>
    <row r="61" spans="2:4">
      <c r="B61" s="5"/>
      <c r="D61" s="16"/>
    </row>
  </sheetData>
  <mergeCells count="7">
    <mergeCell ref="H23:I25"/>
    <mergeCell ref="A23:A25"/>
    <mergeCell ref="A3:A22"/>
    <mergeCell ref="B23:B25"/>
    <mergeCell ref="B3:B8"/>
    <mergeCell ref="B9:B14"/>
    <mergeCell ref="B15:B20"/>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6C4671F-39D7-45DB-B857-26B1B2E4EFA4}">
          <x14:formula1>
            <xm:f>'Execution Status'!$A$1:$A$8</xm:f>
          </x14:formula1>
          <xm:sqref>D3:D25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0de9961-b09b-49e4-9f7d-d3e86e1a871a" xsi:nil="true"/>
    <_ip_UnifiedCompliancePolicyProperties xmlns="http://schemas.microsoft.com/sharepoint/v3" xsi:nil="true"/>
    <lcf76f155ced4ddcb4097134ff3c332f xmlns="83ffab16-b644-4702-bb74-8946ea78fe1d">
      <Terms xmlns="http://schemas.microsoft.com/office/infopath/2007/PartnerControls"/>
    </lcf76f155ced4ddcb4097134ff3c332f>
    <Comments xmlns="83ffab16-b644-4702-bb74-8946ea78fe1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8151C55AD4C864BA379A1C7B498F53B" ma:contentTypeVersion="22" ma:contentTypeDescription="Create a new document." ma:contentTypeScope="" ma:versionID="d5ec7441c1e7c3d0d55d7afb41cb8298">
  <xsd:schema xmlns:xsd="http://www.w3.org/2001/XMLSchema" xmlns:xs="http://www.w3.org/2001/XMLSchema" xmlns:p="http://schemas.microsoft.com/office/2006/metadata/properties" xmlns:ns1="http://schemas.microsoft.com/sharepoint/v3" xmlns:ns2="83ffab16-b644-4702-bb74-8946ea78fe1d" xmlns:ns3="40de9961-b09b-49e4-9f7d-d3e86e1a871a" targetNamespace="http://schemas.microsoft.com/office/2006/metadata/properties" ma:root="true" ma:fieldsID="70bd613f8838eced0f70ce041ae127dd" ns1:_="" ns2:_="" ns3:_="">
    <xsd:import namespace="http://schemas.microsoft.com/sharepoint/v3"/>
    <xsd:import namespace="83ffab16-b644-4702-bb74-8946ea78fe1d"/>
    <xsd:import namespace="40de9961-b09b-49e4-9f7d-d3e86e1a871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MediaServiceDateTaken" minOccurs="0"/>
                <xsd:element ref="ns2:MediaLengthInSeconds" minOccurs="0"/>
                <xsd:element ref="ns2:MediaServiceOCR" minOccurs="0"/>
                <xsd:element ref="ns2:MediaServiceBillingMetadata" minOccurs="0"/>
                <xsd:element ref="ns2: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ffab16-b644-4702-bb74-8946ea78fe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c379444-718f-4044-93bd-bdc834bc632d"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Comments" ma:index="27" nillable="true" ma:displayName="Comments" ma:description="Short description about the document" ma:format="Dropdown" ma:internalName="Comment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0de9961-b09b-49e4-9f7d-d3e86e1a871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a80370b1-4361-4f3b-a040-7a455ae45aa5}" ma:internalName="TaxCatchAll" ma:showField="CatchAllData" ma:web="40de9961-b09b-49e4-9f7d-d3e86e1a87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16BBBA-AB00-4CF9-BA78-4489EEA8D8EF}"/>
</file>

<file path=customXml/itemProps2.xml><?xml version="1.0" encoding="utf-8"?>
<ds:datastoreItem xmlns:ds="http://schemas.openxmlformats.org/officeDocument/2006/customXml" ds:itemID="{DF439F18-B45C-4142-8BE4-246879472EB2}"/>
</file>

<file path=customXml/itemProps3.xml><?xml version="1.0" encoding="utf-8"?>
<ds:datastoreItem xmlns:ds="http://schemas.openxmlformats.org/officeDocument/2006/customXml" ds:itemID="{73524623-7E55-4059-A061-3BA03A230F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Remala, Mounika</dc:creator>
  <cp:keywords/>
  <dc:description/>
  <cp:lastModifiedBy/>
  <cp:revision/>
  <dcterms:created xsi:type="dcterms:W3CDTF">2015-06-05T18:17:20Z</dcterms:created>
  <dcterms:modified xsi:type="dcterms:W3CDTF">2026-03-06T03:41:15Z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0x01010088151C55AD4C864BA379A1C7B498F53B</vt:lpwstr>
  </property>
  <property fmtid="{D5CDD505-2E9C-101B-9397-08002B2CF9AE}" pid="3" name="MediaServiceImageTags">
    <vt:lpwstr/>
  </property>
</Properties>
</file>